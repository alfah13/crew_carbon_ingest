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5F46335C-54A2-BC41-A385-294D28C8C2A9}" xr6:coauthVersionLast="47" xr6:coauthVersionMax="47" xr10:uidLastSave="{00000000-0000-0000-0000-000000000000}"/>
  <bookViews>
    <workbookView xWindow="0" yWindow="760" windowWidth="34560" windowHeight="2080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_xlnm.Print_Area" localSheetId="0">'SHT-S1 DMR SUM'!$A$1:$AN$47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40" i="1" l="1"/>
  <c r="CS40" i="1"/>
  <c r="CO40" i="1"/>
  <c r="CM40" i="1"/>
  <c r="CL40" i="1"/>
  <c r="CK40" i="1"/>
  <c r="CJ40" i="1"/>
  <c r="CI40" i="1"/>
  <c r="CH40" i="1"/>
  <c r="CF40" i="1"/>
  <c r="CE40" i="1"/>
  <c r="CC40" i="1"/>
  <c r="CB40" i="1"/>
  <c r="BV40" i="1"/>
  <c r="BU40" i="1"/>
  <c r="BS40" i="1"/>
  <c r="BN40" i="1"/>
  <c r="BM40" i="1"/>
  <c r="BL40" i="1"/>
  <c r="BK40" i="1"/>
  <c r="BI40" i="1"/>
  <c r="BF40" i="1"/>
  <c r="BP40" i="1" s="1"/>
  <c r="AS40" i="1"/>
  <c r="AL40" i="1"/>
  <c r="AD40" i="1"/>
  <c r="AC40" i="1"/>
  <c r="AB40" i="1"/>
  <c r="AA40" i="1"/>
  <c r="Z40" i="1"/>
  <c r="X40" i="1"/>
  <c r="W40" i="1"/>
  <c r="V40" i="1"/>
  <c r="U40" i="1"/>
  <c r="S40" i="1"/>
  <c r="Q40" i="1"/>
  <c r="M40" i="1"/>
  <c r="C40" i="1"/>
  <c r="B40" i="1"/>
  <c r="CT39" i="1"/>
  <c r="CS39" i="1"/>
  <c r="CO39" i="1"/>
  <c r="CM39" i="1"/>
  <c r="CL39" i="1"/>
  <c r="CK39" i="1"/>
  <c r="CJ39" i="1"/>
  <c r="CI39" i="1"/>
  <c r="CH39" i="1"/>
  <c r="CF39" i="1"/>
  <c r="CE39" i="1"/>
  <c r="CC39" i="1"/>
  <c r="CB39" i="1"/>
  <c r="BV39" i="1"/>
  <c r="BS39" i="1" s="1"/>
  <c r="BN39" i="1"/>
  <c r="BM39" i="1"/>
  <c r="BL39" i="1"/>
  <c r="BK39" i="1"/>
  <c r="BU39" i="1" s="1"/>
  <c r="BJ39" i="1"/>
  <c r="BT39" i="1" s="1"/>
  <c r="BI39" i="1"/>
  <c r="BF39" i="1"/>
  <c r="BP39" i="1" s="1"/>
  <c r="AS39" i="1"/>
  <c r="AL39" i="1"/>
  <c r="AD39" i="1"/>
  <c r="AC39" i="1"/>
  <c r="AB39" i="1"/>
  <c r="AA39" i="1"/>
  <c r="Z39" i="1"/>
  <c r="X39" i="1"/>
  <c r="W39" i="1"/>
  <c r="V39" i="1"/>
  <c r="U39" i="1"/>
  <c r="S39" i="1"/>
  <c r="Q39" i="1"/>
  <c r="M39" i="1"/>
  <c r="C39" i="1"/>
  <c r="B39" i="1"/>
  <c r="CT38" i="1"/>
  <c r="CS38" i="1"/>
  <c r="CO38" i="1"/>
  <c r="CM38" i="1"/>
  <c r="CL38" i="1"/>
  <c r="CK38" i="1"/>
  <c r="CJ38" i="1"/>
  <c r="CI38" i="1"/>
  <c r="CH38" i="1"/>
  <c r="CF38" i="1"/>
  <c r="CE38" i="1"/>
  <c r="CC38" i="1"/>
  <c r="CB38" i="1"/>
  <c r="BV38" i="1"/>
  <c r="BS38" i="1" s="1"/>
  <c r="BU38" i="1"/>
  <c r="BN38" i="1"/>
  <c r="BM38" i="1"/>
  <c r="BL38" i="1"/>
  <c r="BK38" i="1"/>
  <c r="BI38" i="1"/>
  <c r="BG38" i="1"/>
  <c r="BQ38" i="1" s="1"/>
  <c r="BF38" i="1"/>
  <c r="BP38" i="1" s="1"/>
  <c r="BD38" i="1"/>
  <c r="J38" i="1" s="1"/>
  <c r="AS38" i="1"/>
  <c r="AL38" i="1"/>
  <c r="AD38" i="1"/>
  <c r="AC38" i="1"/>
  <c r="AB38" i="1"/>
  <c r="AA38" i="1"/>
  <c r="Z38" i="1"/>
  <c r="X38" i="1"/>
  <c r="W38" i="1"/>
  <c r="V38" i="1"/>
  <c r="U38" i="1"/>
  <c r="S38" i="1"/>
  <c r="Q38" i="1"/>
  <c r="M38" i="1"/>
  <c r="C38" i="1"/>
  <c r="B38" i="1"/>
  <c r="CO37" i="1"/>
  <c r="CE37" i="1"/>
  <c r="CC37" i="1"/>
  <c r="CB37" i="1"/>
  <c r="AL37" i="1"/>
  <c r="AA37" i="1"/>
  <c r="Z37" i="1"/>
  <c r="X37" i="1"/>
  <c r="W37" i="1"/>
  <c r="Q37" i="1"/>
  <c r="B37" i="1"/>
  <c r="CQ34" i="1"/>
  <c r="CP34" i="1"/>
  <c r="CD34" i="1"/>
  <c r="BZ34" i="1"/>
  <c r="BY34" i="1"/>
  <c r="AK34" i="1" s="1"/>
  <c r="BX34" i="1"/>
  <c r="BW34" i="1"/>
  <c r="BO34" i="1"/>
  <c r="BJ34" i="1"/>
  <c r="BH34" i="1"/>
  <c r="BG34" i="1"/>
  <c r="BD34" i="1"/>
  <c r="BC34" i="1"/>
  <c r="BB34" i="1"/>
  <c r="BA34" i="1"/>
  <c r="AZ34" i="1"/>
  <c r="AY34" i="1"/>
  <c r="AX34" i="1"/>
  <c r="AN34" i="1"/>
  <c r="AM34" i="1"/>
  <c r="AI34" i="1"/>
  <c r="Y34" i="1"/>
  <c r="T34" i="1"/>
  <c r="R34" i="1"/>
  <c r="R38" i="1" s="1"/>
  <c r="P34" i="1"/>
  <c r="O34" i="1"/>
  <c r="CA34" i="1" s="1"/>
  <c r="N34" i="1"/>
  <c r="K34" i="1"/>
  <c r="BE34" i="1" s="1"/>
  <c r="AJ34" i="1" s="1"/>
  <c r="H34" i="1"/>
  <c r="A34" i="1"/>
  <c r="CQ33" i="1"/>
  <c r="CP33" i="1"/>
  <c r="CD33" i="1"/>
  <c r="CA33" i="1"/>
  <c r="BY33" i="1"/>
  <c r="AK33" i="1" s="1"/>
  <c r="BX33" i="1"/>
  <c r="BW33" i="1"/>
  <c r="BO33" i="1"/>
  <c r="BJ33" i="1"/>
  <c r="BH33" i="1"/>
  <c r="BG33" i="1"/>
  <c r="BE33" i="1"/>
  <c r="AJ33" i="1" s="1"/>
  <c r="BD33" i="1"/>
  <c r="BC33" i="1"/>
  <c r="BB33" i="1"/>
  <c r="BA33" i="1"/>
  <c r="AZ33" i="1"/>
  <c r="AY33" i="1"/>
  <c r="AX33" i="1"/>
  <c r="AN33" i="1"/>
  <c r="AM33" i="1"/>
  <c r="Y33" i="1"/>
  <c r="T33" i="1"/>
  <c r="R33" i="1"/>
  <c r="O33" i="1"/>
  <c r="N33" i="1"/>
  <c r="BZ33" i="1" s="1"/>
  <c r="P33" i="1" s="1"/>
  <c r="K33" i="1"/>
  <c r="H33" i="1"/>
  <c r="A33" i="1"/>
  <c r="CQ32" i="1"/>
  <c r="CP32" i="1"/>
  <c r="CD32" i="1"/>
  <c r="CA32" i="1"/>
  <c r="BZ32" i="1"/>
  <c r="P32" i="1" s="1"/>
  <c r="BY32" i="1"/>
  <c r="BX32" i="1"/>
  <c r="BW32" i="1"/>
  <c r="BO32" i="1"/>
  <c r="BJ32" i="1"/>
  <c r="BH32" i="1"/>
  <c r="BG32" i="1"/>
  <c r="BE32" i="1"/>
  <c r="BD32" i="1"/>
  <c r="BC32" i="1"/>
  <c r="BB32" i="1"/>
  <c r="BA32" i="1"/>
  <c r="AZ32" i="1"/>
  <c r="AY32" i="1"/>
  <c r="AX32" i="1"/>
  <c r="AN32" i="1"/>
  <c r="AM32" i="1"/>
  <c r="AK32" i="1"/>
  <c r="AJ32" i="1"/>
  <c r="AI32" i="1"/>
  <c r="Y32" i="1"/>
  <c r="T32" i="1"/>
  <c r="R32" i="1"/>
  <c r="O32" i="1"/>
  <c r="N32" i="1"/>
  <c r="K32" i="1"/>
  <c r="H32" i="1"/>
  <c r="A32" i="1"/>
  <c r="CQ31" i="1"/>
  <c r="CP31" i="1"/>
  <c r="CD31" i="1"/>
  <c r="BY31" i="1"/>
  <c r="AK31" i="1" s="1"/>
  <c r="BX31" i="1"/>
  <c r="BW31" i="1"/>
  <c r="BO31" i="1"/>
  <c r="BJ31" i="1"/>
  <c r="BH31" i="1"/>
  <c r="BG31" i="1"/>
  <c r="BD31" i="1"/>
  <c r="BC31" i="1"/>
  <c r="BB31" i="1"/>
  <c r="BA31" i="1"/>
  <c r="AZ31" i="1"/>
  <c r="AY31" i="1"/>
  <c r="AX31" i="1"/>
  <c r="AN31" i="1"/>
  <c r="AM31" i="1"/>
  <c r="AI31" i="1"/>
  <c r="Y31" i="1"/>
  <c r="T31" i="1"/>
  <c r="R31" i="1"/>
  <c r="O31" i="1"/>
  <c r="CA31" i="1" s="1"/>
  <c r="N31" i="1"/>
  <c r="BZ31" i="1" s="1"/>
  <c r="P31" i="1" s="1"/>
  <c r="K31" i="1"/>
  <c r="BE31" i="1" s="1"/>
  <c r="AJ31" i="1" s="1"/>
  <c r="H31" i="1"/>
  <c r="A31" i="1"/>
  <c r="CQ30" i="1"/>
  <c r="CP30" i="1"/>
  <c r="CD30" i="1"/>
  <c r="BY30" i="1"/>
  <c r="BX30" i="1"/>
  <c r="BW30" i="1"/>
  <c r="BO30" i="1"/>
  <c r="BJ30" i="1"/>
  <c r="BH30" i="1"/>
  <c r="BG30" i="1"/>
  <c r="BE30" i="1"/>
  <c r="AJ30" i="1" s="1"/>
  <c r="BD30" i="1"/>
  <c r="AI30" i="1" s="1"/>
  <c r="BC30" i="1"/>
  <c r="BB30" i="1"/>
  <c r="BA30" i="1"/>
  <c r="AZ30" i="1"/>
  <c r="AY30" i="1"/>
  <c r="AX30" i="1"/>
  <c r="AN30" i="1"/>
  <c r="AM30" i="1"/>
  <c r="AK30" i="1"/>
  <c r="Y30" i="1"/>
  <c r="T30" i="1"/>
  <c r="R30" i="1"/>
  <c r="O30" i="1"/>
  <c r="CA30" i="1" s="1"/>
  <c r="N30" i="1"/>
  <c r="BZ30" i="1" s="1"/>
  <c r="K30" i="1"/>
  <c r="H30" i="1"/>
  <c r="A30" i="1"/>
  <c r="CQ29" i="1"/>
  <c r="CP29" i="1"/>
  <c r="CD29" i="1"/>
  <c r="BY29" i="1"/>
  <c r="BX29" i="1"/>
  <c r="BW29" i="1"/>
  <c r="BO29" i="1"/>
  <c r="BJ29" i="1"/>
  <c r="BH29" i="1"/>
  <c r="BG29" i="1"/>
  <c r="BE29" i="1"/>
  <c r="BD29" i="1"/>
  <c r="BC29" i="1"/>
  <c r="BB29" i="1"/>
  <c r="BA29" i="1"/>
  <c r="AZ29" i="1"/>
  <c r="AY29" i="1"/>
  <c r="AX29" i="1"/>
  <c r="AN29" i="1"/>
  <c r="AM29" i="1"/>
  <c r="AK29" i="1"/>
  <c r="AJ29" i="1"/>
  <c r="AI29" i="1"/>
  <c r="Y29" i="1"/>
  <c r="T29" i="1"/>
  <c r="R29" i="1"/>
  <c r="O29" i="1"/>
  <c r="CA29" i="1" s="1"/>
  <c r="N29" i="1"/>
  <c r="BZ29" i="1" s="1"/>
  <c r="P29" i="1" s="1"/>
  <c r="K29" i="1"/>
  <c r="H29" i="1"/>
  <c r="A29" i="1"/>
  <c r="CQ28" i="1"/>
  <c r="CP28" i="1"/>
  <c r="CD28" i="1"/>
  <c r="CA28" i="1"/>
  <c r="BZ28" i="1"/>
  <c r="BY28" i="1"/>
  <c r="AK28" i="1" s="1"/>
  <c r="BX28" i="1"/>
  <c r="BW28" i="1"/>
  <c r="BO28" i="1"/>
  <c r="BJ28" i="1"/>
  <c r="BH28" i="1"/>
  <c r="BG28" i="1"/>
  <c r="BE28" i="1"/>
  <c r="BD28" i="1"/>
  <c r="AI28" i="1" s="1"/>
  <c r="BC28" i="1"/>
  <c r="BB28" i="1"/>
  <c r="BA28" i="1"/>
  <c r="AZ28" i="1"/>
  <c r="AY28" i="1"/>
  <c r="AX28" i="1"/>
  <c r="AN28" i="1"/>
  <c r="AM28" i="1"/>
  <c r="AJ28" i="1"/>
  <c r="Y28" i="1"/>
  <c r="T28" i="1"/>
  <c r="R28" i="1"/>
  <c r="P28" i="1"/>
  <c r="O28" i="1"/>
  <c r="N28" i="1"/>
  <c r="K28" i="1"/>
  <c r="H28" i="1"/>
  <c r="A28" i="1"/>
  <c r="CQ27" i="1"/>
  <c r="CP27" i="1"/>
  <c r="CD27" i="1"/>
  <c r="BY27" i="1"/>
  <c r="BX27" i="1"/>
  <c r="BW27" i="1"/>
  <c r="BO27" i="1"/>
  <c r="BJ27" i="1"/>
  <c r="BH27" i="1"/>
  <c r="BG27" i="1"/>
  <c r="BE27" i="1"/>
  <c r="AJ27" i="1" s="1"/>
  <c r="BD27" i="1"/>
  <c r="AI27" i="1" s="1"/>
  <c r="BC27" i="1"/>
  <c r="BB27" i="1"/>
  <c r="BA27" i="1"/>
  <c r="AZ27" i="1"/>
  <c r="AY27" i="1"/>
  <c r="AX27" i="1"/>
  <c r="AN27" i="1"/>
  <c r="AM27" i="1"/>
  <c r="AK27" i="1"/>
  <c r="Y27" i="1"/>
  <c r="T27" i="1"/>
  <c r="R27" i="1"/>
  <c r="O27" i="1"/>
  <c r="CA27" i="1" s="1"/>
  <c r="N27" i="1"/>
  <c r="BZ27" i="1" s="1"/>
  <c r="P27" i="1" s="1"/>
  <c r="K27" i="1"/>
  <c r="H27" i="1"/>
  <c r="A27" i="1"/>
  <c r="CQ26" i="1"/>
  <c r="CP26" i="1"/>
  <c r="CD26" i="1"/>
  <c r="CA26" i="1"/>
  <c r="BZ26" i="1"/>
  <c r="BY26" i="1"/>
  <c r="BX26" i="1"/>
  <c r="BW26" i="1"/>
  <c r="BO26" i="1"/>
  <c r="BJ26" i="1"/>
  <c r="BH26" i="1"/>
  <c r="BG26" i="1"/>
  <c r="BE26" i="1"/>
  <c r="AJ26" i="1" s="1"/>
  <c r="BD26" i="1"/>
  <c r="BC26" i="1"/>
  <c r="BB26" i="1"/>
  <c r="BA26" i="1"/>
  <c r="AZ26" i="1"/>
  <c r="AY26" i="1"/>
  <c r="AX26" i="1"/>
  <c r="AN26" i="1"/>
  <c r="AM26" i="1"/>
  <c r="AK26" i="1"/>
  <c r="AI26" i="1"/>
  <c r="Y26" i="1"/>
  <c r="T26" i="1"/>
  <c r="R26" i="1"/>
  <c r="O26" i="1"/>
  <c r="N26" i="1"/>
  <c r="K26" i="1"/>
  <c r="H26" i="1"/>
  <c r="A26" i="1"/>
  <c r="CQ25" i="1"/>
  <c r="CP25" i="1"/>
  <c r="CD25" i="1"/>
  <c r="BY25" i="1"/>
  <c r="AK25" i="1" s="1"/>
  <c r="BX25" i="1"/>
  <c r="BW25" i="1"/>
  <c r="BO25" i="1"/>
  <c r="BJ25" i="1"/>
  <c r="BH25" i="1"/>
  <c r="BH38" i="1" s="1"/>
  <c r="BR38" i="1" s="1"/>
  <c r="BG25" i="1"/>
  <c r="BD25" i="1"/>
  <c r="BC25" i="1"/>
  <c r="BB25" i="1"/>
  <c r="BA25" i="1"/>
  <c r="AZ25" i="1"/>
  <c r="AY25" i="1"/>
  <c r="AX25" i="1"/>
  <c r="AN25" i="1"/>
  <c r="AM25" i="1"/>
  <c r="AI25" i="1"/>
  <c r="Y25" i="1"/>
  <c r="T25" i="1"/>
  <c r="R25" i="1"/>
  <c r="O25" i="1"/>
  <c r="CA25" i="1" s="1"/>
  <c r="N25" i="1"/>
  <c r="BZ25" i="1" s="1"/>
  <c r="P25" i="1" s="1"/>
  <c r="K25" i="1"/>
  <c r="BE25" i="1" s="1"/>
  <c r="AJ25" i="1" s="1"/>
  <c r="H25" i="1"/>
  <c r="A25" i="1"/>
  <c r="CQ24" i="1"/>
  <c r="CP24" i="1"/>
  <c r="CD24" i="1"/>
  <c r="BZ24" i="1"/>
  <c r="BY24" i="1"/>
  <c r="AK24" i="1" s="1"/>
  <c r="BX24" i="1"/>
  <c r="BW24" i="1"/>
  <c r="BO24" i="1"/>
  <c r="BJ24" i="1"/>
  <c r="BH24" i="1"/>
  <c r="BG24" i="1"/>
  <c r="BE24" i="1"/>
  <c r="AJ24" i="1" s="1"/>
  <c r="BD24" i="1"/>
  <c r="BC24" i="1"/>
  <c r="BB24" i="1"/>
  <c r="BA24" i="1"/>
  <c r="AZ24" i="1"/>
  <c r="AY24" i="1"/>
  <c r="AX24" i="1"/>
  <c r="AN24" i="1"/>
  <c r="AM24" i="1"/>
  <c r="AI24" i="1"/>
  <c r="Y24" i="1"/>
  <c r="T24" i="1"/>
  <c r="R24" i="1"/>
  <c r="O24" i="1"/>
  <c r="CA24" i="1" s="1"/>
  <c r="P24" i="1" s="1"/>
  <c r="N24" i="1"/>
  <c r="K24" i="1"/>
  <c r="H24" i="1"/>
  <c r="A24" i="1"/>
  <c r="CQ23" i="1"/>
  <c r="CP23" i="1"/>
  <c r="CD23" i="1"/>
  <c r="CA23" i="1"/>
  <c r="BZ23" i="1"/>
  <c r="P23" i="1" s="1"/>
  <c r="BY23" i="1"/>
  <c r="AK23" i="1" s="1"/>
  <c r="BX23" i="1"/>
  <c r="BW23" i="1"/>
  <c r="BO23" i="1"/>
  <c r="BJ23" i="1"/>
  <c r="BH23" i="1"/>
  <c r="BG23" i="1"/>
  <c r="BD23" i="1"/>
  <c r="AI23" i="1" s="1"/>
  <c r="BC23" i="1"/>
  <c r="BB23" i="1"/>
  <c r="BA23" i="1"/>
  <c r="AZ23" i="1"/>
  <c r="AY23" i="1"/>
  <c r="AX23" i="1"/>
  <c r="AN23" i="1"/>
  <c r="AM23" i="1"/>
  <c r="Y23" i="1"/>
  <c r="T23" i="1"/>
  <c r="R23" i="1"/>
  <c r="O23" i="1"/>
  <c r="N23" i="1"/>
  <c r="K23" i="1"/>
  <c r="BE23" i="1" s="1"/>
  <c r="AJ23" i="1" s="1"/>
  <c r="H23" i="1"/>
  <c r="A23" i="1"/>
  <c r="CQ22" i="1"/>
  <c r="CP22" i="1"/>
  <c r="CD22" i="1"/>
  <c r="BY22" i="1"/>
  <c r="BX22" i="1"/>
  <c r="BW22" i="1"/>
  <c r="BO22" i="1"/>
  <c r="BJ22" i="1"/>
  <c r="BH22" i="1"/>
  <c r="BG22" i="1"/>
  <c r="BE22" i="1"/>
  <c r="AJ22" i="1" s="1"/>
  <c r="BD22" i="1"/>
  <c r="BC22" i="1"/>
  <c r="BB22" i="1"/>
  <c r="BA22" i="1"/>
  <c r="AZ22" i="1"/>
  <c r="AY22" i="1"/>
  <c r="AX22" i="1"/>
  <c r="AN22" i="1"/>
  <c r="AM22" i="1"/>
  <c r="AK22" i="1"/>
  <c r="AI22" i="1"/>
  <c r="Y22" i="1"/>
  <c r="T22" i="1"/>
  <c r="R22" i="1"/>
  <c r="O22" i="1"/>
  <c r="CA22" i="1" s="1"/>
  <c r="N22" i="1"/>
  <c r="BZ22" i="1" s="1"/>
  <c r="P22" i="1" s="1"/>
  <c r="K22" i="1"/>
  <c r="H22" i="1"/>
  <c r="A22" i="1"/>
  <c r="CQ21" i="1"/>
  <c r="CP21" i="1"/>
  <c r="CD21" i="1"/>
  <c r="BZ21" i="1"/>
  <c r="BY21" i="1"/>
  <c r="BX21" i="1"/>
  <c r="BW21" i="1"/>
  <c r="BW39" i="1" s="1"/>
  <c r="BO21" i="1"/>
  <c r="BJ21" i="1"/>
  <c r="BH21" i="1"/>
  <c r="BG21" i="1"/>
  <c r="BE21" i="1"/>
  <c r="BD21" i="1"/>
  <c r="BC21" i="1"/>
  <c r="BB21" i="1"/>
  <c r="BA21" i="1"/>
  <c r="AZ21" i="1"/>
  <c r="AY21" i="1"/>
  <c r="AX21" i="1"/>
  <c r="AN21" i="1"/>
  <c r="AM21" i="1"/>
  <c r="AJ21" i="1"/>
  <c r="AI21" i="1"/>
  <c r="Y21" i="1"/>
  <c r="Y38" i="1" s="1"/>
  <c r="T21" i="1"/>
  <c r="R21" i="1"/>
  <c r="P21" i="1"/>
  <c r="O21" i="1"/>
  <c r="CA21" i="1" s="1"/>
  <c r="N21" i="1"/>
  <c r="K21" i="1"/>
  <c r="H21" i="1"/>
  <c r="A21" i="1"/>
  <c r="CQ20" i="1"/>
  <c r="CP20" i="1"/>
  <c r="CD20" i="1"/>
  <c r="BY20" i="1"/>
  <c r="BX20" i="1"/>
  <c r="BW20" i="1"/>
  <c r="BO20" i="1"/>
  <c r="BJ20" i="1"/>
  <c r="BH20" i="1"/>
  <c r="BH40" i="1" s="1"/>
  <c r="BR40" i="1" s="1"/>
  <c r="BG20" i="1"/>
  <c r="BG40" i="1" s="1"/>
  <c r="BQ40" i="1" s="1"/>
  <c r="BE20" i="1"/>
  <c r="AJ20" i="1" s="1"/>
  <c r="BD20" i="1"/>
  <c r="AI20" i="1" s="1"/>
  <c r="BC20" i="1"/>
  <c r="BC38" i="1" s="1"/>
  <c r="I38" i="1" s="1"/>
  <c r="BB20" i="1"/>
  <c r="BA20" i="1"/>
  <c r="AZ20" i="1"/>
  <c r="AY20" i="1"/>
  <c r="AX20" i="1"/>
  <c r="AN20" i="1"/>
  <c r="AM20" i="1"/>
  <c r="AK20" i="1"/>
  <c r="Y20" i="1"/>
  <c r="T20" i="1"/>
  <c r="R20" i="1"/>
  <c r="O20" i="1"/>
  <c r="CA20" i="1" s="1"/>
  <c r="N20" i="1"/>
  <c r="BZ20" i="1" s="1"/>
  <c r="P20" i="1" s="1"/>
  <c r="K20" i="1"/>
  <c r="H20" i="1"/>
  <c r="A20" i="1"/>
  <c r="CQ19" i="1"/>
  <c r="CP19" i="1"/>
  <c r="CD19" i="1"/>
  <c r="BY19" i="1"/>
  <c r="BX19" i="1"/>
  <c r="BW19" i="1"/>
  <c r="BO19" i="1"/>
  <c r="BJ19" i="1"/>
  <c r="BH19" i="1"/>
  <c r="BG19" i="1"/>
  <c r="BE19" i="1"/>
  <c r="BD19" i="1"/>
  <c r="BC19" i="1"/>
  <c r="BB19" i="1"/>
  <c r="BA19" i="1"/>
  <c r="AZ19" i="1"/>
  <c r="AY19" i="1"/>
  <c r="AX19" i="1"/>
  <c r="AN19" i="1"/>
  <c r="AM19" i="1"/>
  <c r="AK19" i="1"/>
  <c r="AJ19" i="1"/>
  <c r="AI19" i="1"/>
  <c r="Y19" i="1"/>
  <c r="T19" i="1"/>
  <c r="R19" i="1"/>
  <c r="O19" i="1"/>
  <c r="CA19" i="1" s="1"/>
  <c r="N19" i="1"/>
  <c r="BZ19" i="1" s="1"/>
  <c r="P19" i="1" s="1"/>
  <c r="K19" i="1"/>
  <c r="H19" i="1"/>
  <c r="A19" i="1"/>
  <c r="CQ18" i="1"/>
  <c r="CP18" i="1"/>
  <c r="CD18" i="1"/>
  <c r="CA18" i="1"/>
  <c r="BZ18" i="1"/>
  <c r="BY18" i="1"/>
  <c r="AK18" i="1" s="1"/>
  <c r="BX18" i="1"/>
  <c r="BW18" i="1"/>
  <c r="BO18" i="1"/>
  <c r="BJ18" i="1"/>
  <c r="BH18" i="1"/>
  <c r="BG18" i="1"/>
  <c r="BE18" i="1"/>
  <c r="BD18" i="1"/>
  <c r="BC18" i="1"/>
  <c r="BB18" i="1"/>
  <c r="BA18" i="1"/>
  <c r="AZ18" i="1"/>
  <c r="AY18" i="1"/>
  <c r="AX18" i="1"/>
  <c r="AN18" i="1"/>
  <c r="AM18" i="1"/>
  <c r="AJ18" i="1"/>
  <c r="AI18" i="1"/>
  <c r="Y18" i="1"/>
  <c r="T18" i="1"/>
  <c r="R18" i="1"/>
  <c r="P18" i="1"/>
  <c r="O18" i="1"/>
  <c r="N18" i="1"/>
  <c r="K18" i="1"/>
  <c r="H18" i="1"/>
  <c r="A18" i="1"/>
  <c r="CQ17" i="1"/>
  <c r="CP17" i="1"/>
  <c r="CD17" i="1"/>
  <c r="BY17" i="1"/>
  <c r="BX17" i="1"/>
  <c r="BW17" i="1"/>
  <c r="BO17" i="1"/>
  <c r="BJ17" i="1"/>
  <c r="BH17" i="1"/>
  <c r="BG17" i="1"/>
  <c r="BE17" i="1"/>
  <c r="AJ17" i="1" s="1"/>
  <c r="BD17" i="1"/>
  <c r="AI17" i="1" s="1"/>
  <c r="BC17" i="1"/>
  <c r="BB17" i="1"/>
  <c r="BA17" i="1"/>
  <c r="AZ17" i="1"/>
  <c r="AY17" i="1"/>
  <c r="AX17" i="1"/>
  <c r="AN17" i="1"/>
  <c r="AM17" i="1"/>
  <c r="AK17" i="1"/>
  <c r="Y17" i="1"/>
  <c r="T17" i="1"/>
  <c r="R17" i="1"/>
  <c r="O17" i="1"/>
  <c r="CA17" i="1" s="1"/>
  <c r="N17" i="1"/>
  <c r="BZ17" i="1" s="1"/>
  <c r="P17" i="1" s="1"/>
  <c r="K17" i="1"/>
  <c r="H17" i="1"/>
  <c r="A17" i="1"/>
  <c r="CQ16" i="1"/>
  <c r="CP16" i="1"/>
  <c r="CD16" i="1"/>
  <c r="CA16" i="1"/>
  <c r="BZ16" i="1"/>
  <c r="P16" i="1" s="1"/>
  <c r="BY16" i="1"/>
  <c r="BX16" i="1"/>
  <c r="BW16" i="1"/>
  <c r="BO16" i="1"/>
  <c r="BJ16" i="1"/>
  <c r="BH16" i="1"/>
  <c r="BG16" i="1"/>
  <c r="BE16" i="1"/>
  <c r="BD16" i="1"/>
  <c r="BC16" i="1"/>
  <c r="BB16" i="1"/>
  <c r="BA16" i="1"/>
  <c r="AZ16" i="1"/>
  <c r="AY16" i="1"/>
  <c r="AX16" i="1"/>
  <c r="AN16" i="1"/>
  <c r="AN37" i="1" s="1"/>
  <c r="AM16" i="1"/>
  <c r="AM37" i="1" s="1"/>
  <c r="AK16" i="1"/>
  <c r="AJ16" i="1"/>
  <c r="AI16" i="1"/>
  <c r="Y16" i="1"/>
  <c r="T16" i="1"/>
  <c r="R16" i="1"/>
  <c r="O16" i="1"/>
  <c r="N16" i="1"/>
  <c r="K16" i="1"/>
  <c r="H16" i="1"/>
  <c r="A16" i="1"/>
  <c r="CQ15" i="1"/>
  <c r="CP15" i="1"/>
  <c r="CD15" i="1"/>
  <c r="BY15" i="1"/>
  <c r="AK15" i="1" s="1"/>
  <c r="BX15" i="1"/>
  <c r="BW15" i="1"/>
  <c r="BO15" i="1"/>
  <c r="BJ15" i="1"/>
  <c r="BH15" i="1"/>
  <c r="BG15" i="1"/>
  <c r="BE15" i="1"/>
  <c r="BD15" i="1"/>
  <c r="BC15" i="1"/>
  <c r="BB15" i="1"/>
  <c r="BA15" i="1"/>
  <c r="AZ15" i="1"/>
  <c r="AY15" i="1"/>
  <c r="AX15" i="1"/>
  <c r="AN15" i="1"/>
  <c r="AM15" i="1"/>
  <c r="AJ15" i="1"/>
  <c r="AI15" i="1"/>
  <c r="Y15" i="1"/>
  <c r="T15" i="1"/>
  <c r="R15" i="1"/>
  <c r="O15" i="1"/>
  <c r="CA15" i="1" s="1"/>
  <c r="N15" i="1"/>
  <c r="BZ15" i="1" s="1"/>
  <c r="K15" i="1"/>
  <c r="H15" i="1"/>
  <c r="A15" i="1"/>
  <c r="CQ14" i="1"/>
  <c r="CP14" i="1"/>
  <c r="CD14" i="1"/>
  <c r="BY14" i="1"/>
  <c r="BX14" i="1"/>
  <c r="BW14" i="1"/>
  <c r="BO14" i="1"/>
  <c r="BO38" i="1" s="1"/>
  <c r="AF38" i="1" s="1"/>
  <c r="BJ14" i="1"/>
  <c r="BH14" i="1"/>
  <c r="BG14" i="1"/>
  <c r="BD14" i="1"/>
  <c r="AI14" i="1" s="1"/>
  <c r="BC14" i="1"/>
  <c r="BB14" i="1"/>
  <c r="BA14" i="1"/>
  <c r="BA38" i="1" s="1"/>
  <c r="F38" i="1" s="1"/>
  <c r="AZ14" i="1"/>
  <c r="AY14" i="1"/>
  <c r="AX14" i="1"/>
  <c r="AN14" i="1"/>
  <c r="AM14" i="1"/>
  <c r="AK14" i="1"/>
  <c r="Y14" i="1"/>
  <c r="T14" i="1"/>
  <c r="R14" i="1"/>
  <c r="O14" i="1"/>
  <c r="CA14" i="1" s="1"/>
  <c r="N14" i="1"/>
  <c r="BZ14" i="1" s="1"/>
  <c r="P14" i="1" s="1"/>
  <c r="K14" i="1"/>
  <c r="BE14" i="1" s="1"/>
  <c r="H14" i="1"/>
  <c r="A14" i="1"/>
  <c r="CQ13" i="1"/>
  <c r="CP13" i="1"/>
  <c r="CD13" i="1"/>
  <c r="CA13" i="1"/>
  <c r="BZ13" i="1"/>
  <c r="BY13" i="1"/>
  <c r="BX13" i="1"/>
  <c r="BW13" i="1"/>
  <c r="BO13" i="1"/>
  <c r="BJ13" i="1"/>
  <c r="BH13" i="1"/>
  <c r="BG13" i="1"/>
  <c r="BD13" i="1"/>
  <c r="BC13" i="1"/>
  <c r="BB13" i="1"/>
  <c r="BB39" i="1" s="1"/>
  <c r="G39" i="1" s="1"/>
  <c r="BA13" i="1"/>
  <c r="AZ13" i="1"/>
  <c r="AZ39" i="1" s="1"/>
  <c r="E39" i="1" s="1"/>
  <c r="AY13" i="1"/>
  <c r="AX13" i="1"/>
  <c r="AX39" i="1" s="1"/>
  <c r="AE39" i="1" s="1"/>
  <c r="AN13" i="1"/>
  <c r="AM13" i="1"/>
  <c r="AJ13" i="1"/>
  <c r="AI13" i="1"/>
  <c r="Y13" i="1"/>
  <c r="Y40" i="1" s="1"/>
  <c r="T13" i="1"/>
  <c r="R13" i="1"/>
  <c r="O13" i="1"/>
  <c r="N13" i="1"/>
  <c r="K13" i="1"/>
  <c r="BE13" i="1" s="1"/>
  <c r="H13" i="1"/>
  <c r="A13" i="1"/>
  <c r="AK21" i="1" l="1"/>
  <c r="BY39" i="1"/>
  <c r="L39" i="1" s="1"/>
  <c r="AJ14" i="1"/>
  <c r="BE39" i="1"/>
  <c r="K39" i="1" s="1"/>
  <c r="BE40" i="1"/>
  <c r="K40" i="1" s="1"/>
  <c r="P15" i="1"/>
  <c r="BZ39" i="1"/>
  <c r="N39" i="1" s="1"/>
  <c r="AI33" i="1"/>
  <c r="AI38" i="1" s="1"/>
  <c r="BD40" i="1"/>
  <c r="J40" i="1" s="1"/>
  <c r="AY40" i="1"/>
  <c r="D40" i="1" s="1"/>
  <c r="AY38" i="1"/>
  <c r="D38" i="1" s="1"/>
  <c r="AY39" i="1"/>
  <c r="D39" i="1" s="1"/>
  <c r="BE38" i="1"/>
  <c r="K38" i="1" s="1"/>
  <c r="BB38" i="1"/>
  <c r="G38" i="1" s="1"/>
  <c r="CA38" i="1"/>
  <c r="O38" i="1" s="1"/>
  <c r="BH39" i="1"/>
  <c r="BR39" i="1" s="1"/>
  <c r="R39" i="1"/>
  <c r="P13" i="1"/>
  <c r="BZ40" i="1"/>
  <c r="N40" i="1" s="1"/>
  <c r="BW40" i="1"/>
  <c r="BW38" i="1"/>
  <c r="BC40" i="1"/>
  <c r="I40" i="1" s="1"/>
  <c r="BC39" i="1"/>
  <c r="I39" i="1" s="1"/>
  <c r="CD38" i="1"/>
  <c r="CD39" i="1"/>
  <c r="CD37" i="1"/>
  <c r="CA40" i="1"/>
  <c r="O40" i="1" s="1"/>
  <c r="CA39" i="1"/>
  <c r="O39" i="1" s="1"/>
  <c r="BZ38" i="1"/>
  <c r="N38" i="1" s="1"/>
  <c r="CP38" i="1"/>
  <c r="AG38" i="1" s="1"/>
  <c r="CP39" i="1"/>
  <c r="AG39" i="1" s="1"/>
  <c r="CP40" i="1"/>
  <c r="AG40" i="1" s="1"/>
  <c r="CQ40" i="1"/>
  <c r="AH40" i="1" s="1"/>
  <c r="CQ39" i="1"/>
  <c r="AH39" i="1" s="1"/>
  <c r="CQ38" i="1"/>
  <c r="AH38" i="1" s="1"/>
  <c r="P26" i="1"/>
  <c r="BX39" i="1"/>
  <c r="BX38" i="1"/>
  <c r="BX40" i="1"/>
  <c r="BY40" i="1"/>
  <c r="L40" i="1" s="1"/>
  <c r="R40" i="1"/>
  <c r="AJ37" i="1"/>
  <c r="AJ39" i="1"/>
  <c r="AJ38" i="1"/>
  <c r="AJ40" i="1"/>
  <c r="AK13" i="1"/>
  <c r="AM39" i="1"/>
  <c r="AM38" i="1"/>
  <c r="AM40" i="1"/>
  <c r="BG39" i="1"/>
  <c r="BQ39" i="1" s="1"/>
  <c r="AN38" i="1"/>
  <c r="AN39" i="1"/>
  <c r="AN40" i="1"/>
  <c r="P30" i="1"/>
  <c r="T38" i="1"/>
  <c r="T40" i="1"/>
  <c r="T39" i="1"/>
  <c r="Y39" i="1"/>
  <c r="BY38" i="1"/>
  <c r="L38" i="1" s="1"/>
  <c r="AI40" i="1"/>
  <c r="A42" i="1"/>
  <c r="B42" i="1"/>
  <c r="AX40" i="1"/>
  <c r="AE40" i="1" s="1"/>
  <c r="AX38" i="1"/>
  <c r="AE38" i="1" s="1"/>
  <c r="H38" i="1"/>
  <c r="H37" i="1"/>
  <c r="H40" i="1"/>
  <c r="CD40" i="1"/>
  <c r="AZ40" i="1"/>
  <c r="E40" i="1" s="1"/>
  <c r="BO40" i="1"/>
  <c r="AF40" i="1" s="1"/>
  <c r="BA40" i="1"/>
  <c r="F40" i="1" s="1"/>
  <c r="BA39" i="1"/>
  <c r="F39" i="1" s="1"/>
  <c r="BO39" i="1"/>
  <c r="AF39" i="1" s="1"/>
  <c r="BB40" i="1"/>
  <c r="G40" i="1" s="1"/>
  <c r="AZ38" i="1"/>
  <c r="E38" i="1" s="1"/>
  <c r="BD39" i="1"/>
  <c r="J39" i="1" s="1"/>
  <c r="H39" i="1"/>
  <c r="BJ38" i="1"/>
  <c r="BT38" i="1" s="1"/>
  <c r="BJ40" i="1"/>
  <c r="BT40" i="1" s="1"/>
  <c r="AI39" i="1" l="1"/>
  <c r="P39" i="1"/>
  <c r="P38" i="1"/>
  <c r="P40" i="1"/>
  <c r="AK39" i="1"/>
  <c r="AK37" i="1"/>
  <c r="AK40" i="1"/>
  <c r="AK38" i="1"/>
  <c r="AI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</author>
  </authors>
  <commentList>
    <comment ref="AB40" authorId="0" shapeId="0" xr:uid="{00000000-0006-0000-0000-000001000000}">
      <text>
        <r>
          <rPr>
            <sz val="8"/>
            <rFont val="Tahoma"/>
            <family val="2"/>
          </rPr>
          <t xml:space="preserve">This is the total all the daily fne residual s divided by the number of residual samples. </t>
        </r>
      </text>
    </comment>
  </commentList>
</comments>
</file>

<file path=xl/sharedStrings.xml><?xml version="1.0" encoding="utf-8"?>
<sst xmlns="http://schemas.openxmlformats.org/spreadsheetml/2006/main" count="411" uniqueCount="142">
  <si>
    <t xml:space="preserve"> MONTHLY PLANT OPERATIONS REPORT</t>
  </si>
  <si>
    <t>Sheet No. S-1</t>
  </si>
  <si>
    <t>April, 2025</t>
  </si>
  <si>
    <t>PLANT DMR DATA</t>
  </si>
  <si>
    <t>4/11/2025 2:48:15 PM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</si>
  <si>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</si>
  <si>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</si>
  <si>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</si>
  <si>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</si>
  <si>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</si>
  <si>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</si>
  <si>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</si>
  <si>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</si>
  <si>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</si>
  <si>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</si>
  <si>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</si>
  <si>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</si>
  <si>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</si>
  <si>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</si>
  <si>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</si>
  <si>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</si>
  <si>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</si>
  <si>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</si>
  <si>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</si>
  <si>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</si>
  <si>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</si>
  <si>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</si>
  <si>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</si>
  <si>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</si>
  <si>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</si>
  <si>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</si>
  <si>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</si>
  <si>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</si>
  <si>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</si>
  <si>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</si>
  <si>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</si>
  <si>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</si>
  <si>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</si>
  <si>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</si>
  <si>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</si>
  <si>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</si>
  <si>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</si>
  <si>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</si>
  <si>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</si>
  <si>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</si>
  <si>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</si>
  <si>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</si>
  <si>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</si>
  <si>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</si>
  <si>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</si>
  <si>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</si>
  <si>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</si>
  <si>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</si>
  <si>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</si>
  <si>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</si>
  <si>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</si>
  <si>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</si>
  <si>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</si>
  <si>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</si>
  <si>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</si>
  <si>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</si>
  <si>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</si>
  <si>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</si>
  <si>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</si>
  <si>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</si>
  <si>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</si>
  <si>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</si>
  <si>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</si>
  <si>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</si>
  <si>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</si>
  <si>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</si>
  <si>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</si>
  <si>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</si>
  <si>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</si>
  <si>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</si>
  <si>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</si>
  <si>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</si>
  <si>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</si>
  <si>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</si>
  <si>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</si>
  <si>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</si>
  <si>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</si>
  <si>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</si>
  <si>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</si>
  <si>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</si>
  <si>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</si>
  <si>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</si>
  <si>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</si>
  <si>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</si>
  <si>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</si>
  <si>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</si>
  <si>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</si>
  <si>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</si>
  <si>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</si>
  <si>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</si>
  <si>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</si>
  <si>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</si>
  <si>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</si>
  <si>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</si>
  <si>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</si>
  <si>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</si>
  <si>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</si>
  <si>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</si>
  <si>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&lt;1</t>
  </si>
  <si>
    <t>TOTAL</t>
  </si>
  <si>
    <t>MIN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</si>
  <si>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</si>
  <si>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</si>
  <si>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</si>
  <si>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</si>
  <si>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</si>
  <si>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</si>
  <si>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</si>
  <si>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</si>
  <si>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</si>
  <si>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</si>
  <si>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</si>
  <si>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</si>
  <si>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</si>
  <si>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</si>
  <si>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</si>
  <si>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</si>
  <si>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</si>
  <si>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</si>
  <si>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</si>
  <si>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</si>
  <si>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</si>
  <si>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</si>
  <si>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</si>
  <si>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</si>
  <si>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</si>
  <si>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</si>
  <si>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</si>
  <si>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</si>
  <si>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</si>
  <si>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</si>
  <si>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</si>
  <si>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</si>
  <si>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</si>
  <si>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</si>
  <si>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S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</si>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</sst>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"/>
    <numFmt numFmtId="166" formatCode="m/d/yy\ h:mm\ AM/PM"/>
    <numFmt numFmtId="167" formatCode="ddd\-dd"/>
  </numFmts>
  <fonts count="11">
    <font>
      <sz val="10"/>
      <name val="Courier"/>
    </font>
    <font>
      <b/>
      <sz val="10"/>
      <name val="Arial"/>
      <family val="2"/>
    </font>
    <font>
      <sz val="10"/>
      <name val="Courier"/>
      <family val="3"/>
    </font>
    <font>
      <b/>
      <sz val="2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164" fontId="6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centerContinuous"/>
    </xf>
    <xf numFmtId="164" fontId="5" fillId="0" borderId="2" xfId="0" applyNumberFormat="1" applyFont="1" applyBorder="1" applyAlignment="1">
      <alignment horizontal="centerContinuous"/>
    </xf>
    <xf numFmtId="164" fontId="6" fillId="0" borderId="3" xfId="0" applyNumberFormat="1" applyFont="1" applyBorder="1" applyAlignment="1">
      <alignment horizontal="centerContinuous"/>
    </xf>
    <xf numFmtId="164" fontId="0" fillId="0" borderId="3" xfId="0" applyNumberFormat="1" applyBorder="1" applyAlignment="1">
      <alignment horizontal="centerContinuous"/>
    </xf>
    <xf numFmtId="164" fontId="0" fillId="0" borderId="4" xfId="0" applyNumberFormat="1" applyBorder="1" applyAlignment="1">
      <alignment horizontal="centerContinuous"/>
    </xf>
    <xf numFmtId="164" fontId="5" fillId="0" borderId="3" xfId="0" applyNumberFormat="1" applyFont="1" applyBorder="1" applyAlignment="1">
      <alignment horizontal="centerContinuous"/>
    </xf>
    <xf numFmtId="164" fontId="6" fillId="0" borderId="4" xfId="0" applyNumberFormat="1" applyFont="1" applyBorder="1" applyAlignment="1">
      <alignment horizontal="centerContinuous"/>
    </xf>
    <xf numFmtId="164" fontId="5" fillId="0" borderId="4" xfId="0" applyNumberFormat="1" applyFont="1" applyBorder="1" applyAlignment="1">
      <alignment horizontal="centerContinuous"/>
    </xf>
    <xf numFmtId="164" fontId="6" fillId="0" borderId="5" xfId="0" applyNumberFormat="1" applyFont="1" applyBorder="1" applyAlignment="1">
      <alignment horizontal="centerContinuous"/>
    </xf>
    <xf numFmtId="164" fontId="5" fillId="2" borderId="2" xfId="0" applyNumberFormat="1" applyFont="1" applyFill="1" applyBorder="1" applyAlignment="1">
      <alignment horizontal="centerContinuous"/>
    </xf>
    <xf numFmtId="164" fontId="5" fillId="2" borderId="3" xfId="0" applyNumberFormat="1" applyFont="1" applyFill="1" applyBorder="1" applyAlignment="1">
      <alignment horizontal="centerContinuous"/>
    </xf>
    <xf numFmtId="164" fontId="5" fillId="2" borderId="4" xfId="0" applyNumberFormat="1" applyFont="1" applyFill="1" applyBorder="1" applyAlignment="1">
      <alignment horizontal="centerContinuous"/>
    </xf>
    <xf numFmtId="164" fontId="5" fillId="2" borderId="5" xfId="0" applyNumberFormat="1" applyFont="1" applyFill="1" applyBorder="1" applyAlignment="1">
      <alignment horizontal="centerContinuous"/>
    </xf>
    <xf numFmtId="164" fontId="5" fillId="2" borderId="2" xfId="0" applyNumberFormat="1" applyFont="1" applyFill="1" applyBorder="1"/>
    <xf numFmtId="164" fontId="5" fillId="0" borderId="6" xfId="0" applyNumberFormat="1" applyFont="1" applyBorder="1"/>
    <xf numFmtId="164" fontId="5" fillId="0" borderId="6" xfId="0" applyNumberFormat="1" applyFont="1" applyBorder="1" applyAlignment="1">
      <alignment horizontal="centerContinuous"/>
    </xf>
    <xf numFmtId="164" fontId="5" fillId="0" borderId="7" xfId="0" applyNumberFormat="1" applyFont="1" applyBorder="1" applyAlignment="1">
      <alignment horizontal="centerContinuous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Continuous"/>
    </xf>
    <xf numFmtId="164" fontId="0" fillId="0" borderId="9" xfId="0" applyNumberFormat="1" applyBorder="1"/>
    <xf numFmtId="164" fontId="0" fillId="0" borderId="10" xfId="0" applyNumberFormat="1" applyBorder="1" applyAlignment="1">
      <alignment horizontal="centerContinuous"/>
    </xf>
    <xf numFmtId="164" fontId="0" fillId="0" borderId="5" xfId="0" applyNumberFormat="1" applyBorder="1" applyAlignment="1">
      <alignment horizontal="centerContinuous"/>
    </xf>
    <xf numFmtId="164" fontId="5" fillId="0" borderId="5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left"/>
    </xf>
    <xf numFmtId="164" fontId="5" fillId="0" borderId="13" xfId="0" applyNumberFormat="1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2" borderId="13" xfId="0" applyNumberFormat="1" applyFon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14" xfId="0" applyNumberFormat="1" applyFont="1" applyFill="1" applyBorder="1" applyAlignment="1">
      <alignment horizontal="center"/>
    </xf>
    <xf numFmtId="164" fontId="5" fillId="3" borderId="15" xfId="0" applyNumberFormat="1" applyFont="1" applyFill="1" applyBorder="1" applyAlignment="1">
      <alignment horizontal="center"/>
    </xf>
    <xf numFmtId="164" fontId="5" fillId="3" borderId="14" xfId="0" applyNumberFormat="1" applyFont="1" applyFill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/>
    </xf>
    <xf numFmtId="164" fontId="5" fillId="2" borderId="17" xfId="0" applyNumberFormat="1" applyFont="1" applyFill="1" applyBorder="1" applyAlignment="1">
      <alignment horizontal="center"/>
    </xf>
    <xf numFmtId="164" fontId="8" fillId="0" borderId="8" xfId="0" applyNumberFormat="1" applyFont="1" applyBorder="1"/>
    <xf numFmtId="164" fontId="8" fillId="0" borderId="9" xfId="0" applyNumberFormat="1" applyFont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164" fontId="8" fillId="0" borderId="21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164" fontId="5" fillId="2" borderId="19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164" fontId="5" fillId="3" borderId="23" xfId="0" applyNumberFormat="1" applyFont="1" applyFill="1" applyBorder="1" applyAlignment="1">
      <alignment horizontal="center"/>
    </xf>
    <xf numFmtId="164" fontId="5" fillId="3" borderId="20" xfId="0" applyNumberFormat="1" applyFont="1" applyFill="1" applyBorder="1" applyAlignment="1">
      <alignment horizontal="center"/>
    </xf>
    <xf numFmtId="164" fontId="5" fillId="3" borderId="19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/>
    </xf>
    <xf numFmtId="164" fontId="8" fillId="0" borderId="12" xfId="0" applyNumberFormat="1" applyFont="1" applyBorder="1"/>
    <xf numFmtId="164" fontId="8" fillId="0" borderId="19" xfId="0" applyNumberFormat="1" applyFont="1" applyBorder="1" applyAlignment="1">
      <alignment horizontal="center"/>
    </xf>
    <xf numFmtId="164" fontId="4" fillId="0" borderId="0" xfId="0" applyNumberFormat="1" applyFont="1"/>
    <xf numFmtId="167" fontId="7" fillId="0" borderId="0" xfId="0" applyNumberFormat="1" applyFont="1" applyAlignment="1">
      <alignment horizontal="left"/>
    </xf>
    <xf numFmtId="2" fontId="9" fillId="0" borderId="24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5" fontId="9" fillId="0" borderId="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2" fontId="9" fillId="0" borderId="25" xfId="0" applyNumberFormat="1" applyFont="1" applyBorder="1" applyAlignment="1">
      <alignment horizontal="center"/>
    </xf>
    <xf numFmtId="164" fontId="9" fillId="0" borderId="0" xfId="0" applyNumberFormat="1" applyFont="1"/>
    <xf numFmtId="1" fontId="9" fillId="0" borderId="9" xfId="0" applyNumberFormat="1" applyFont="1" applyBorder="1" applyAlignment="1">
      <alignment horizontal="center"/>
    </xf>
    <xf numFmtId="1" fontId="9" fillId="0" borderId="24" xfId="0" applyNumberFormat="1" applyFont="1" applyBorder="1"/>
    <xf numFmtId="1" fontId="9" fillId="0" borderId="0" xfId="0" applyNumberFormat="1" applyFont="1"/>
    <xf numFmtId="165" fontId="9" fillId="0" borderId="0" xfId="0" applyNumberFormat="1" applyFont="1"/>
    <xf numFmtId="2" fontId="9" fillId="0" borderId="0" xfId="0" applyNumberFormat="1" applyFont="1"/>
    <xf numFmtId="165" fontId="9" fillId="0" borderId="25" xfId="0" applyNumberFormat="1" applyFont="1" applyBorder="1"/>
    <xf numFmtId="1" fontId="9" fillId="0" borderId="26" xfId="0" applyNumberFormat="1" applyFont="1" applyBorder="1"/>
    <xf numFmtId="2" fontId="9" fillId="0" borderId="27" xfId="0" applyNumberFormat="1" applyFont="1" applyBorder="1"/>
    <xf numFmtId="164" fontId="9" fillId="0" borderId="16" xfId="0" applyNumberFormat="1" applyFont="1" applyBorder="1"/>
    <xf numFmtId="2" fontId="9" fillId="0" borderId="28" xfId="0" applyNumberFormat="1" applyFont="1" applyBorder="1"/>
    <xf numFmtId="2" fontId="9" fillId="0" borderId="25" xfId="0" applyNumberFormat="1" applyFont="1" applyBorder="1"/>
    <xf numFmtId="164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5" fontId="9" fillId="0" borderId="27" xfId="0" applyNumberFormat="1" applyFont="1" applyBorder="1"/>
    <xf numFmtId="165" fontId="9" fillId="0" borderId="12" xfId="0" applyNumberFormat="1" applyFont="1" applyBorder="1"/>
    <xf numFmtId="1" fontId="9" fillId="0" borderId="8" xfId="0" applyNumberFormat="1" applyFont="1" applyBorder="1"/>
    <xf numFmtId="2" fontId="9" fillId="0" borderId="26" xfId="0" applyNumberFormat="1" applyFont="1" applyBorder="1"/>
    <xf numFmtId="2" fontId="9" fillId="0" borderId="9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1" fontId="9" fillId="0" borderId="12" xfId="0" applyNumberFormat="1" applyFont="1" applyBorder="1"/>
    <xf numFmtId="1" fontId="9" fillId="0" borderId="9" xfId="0" applyNumberFormat="1" applyFont="1" applyBorder="1"/>
    <xf numFmtId="2" fontId="9" fillId="0" borderId="16" xfId="0" applyNumberFormat="1" applyFont="1" applyBorder="1"/>
    <xf numFmtId="2" fontId="9" fillId="0" borderId="8" xfId="0" applyNumberFormat="1" applyFont="1" applyBorder="1"/>
    <xf numFmtId="2" fontId="9" fillId="0" borderId="9" xfId="0" applyNumberFormat="1" applyFont="1" applyBorder="1"/>
    <xf numFmtId="2" fontId="9" fillId="0" borderId="21" xfId="0" applyNumberFormat="1" applyFont="1" applyBorder="1" applyAlignment="1">
      <alignment horizontal="center"/>
    </xf>
    <xf numFmtId="165" fontId="9" fillId="0" borderId="22" xfId="0" applyNumberFormat="1" applyFont="1" applyBorder="1" applyAlignment="1">
      <alignment horizontal="center"/>
    </xf>
    <xf numFmtId="1" fontId="9" fillId="0" borderId="22" xfId="0" applyNumberFormat="1" applyFont="1" applyBorder="1" applyAlignment="1">
      <alignment horizontal="center"/>
    </xf>
    <xf numFmtId="165" fontId="9" fillId="0" borderId="20" xfId="0" applyNumberFormat="1" applyFont="1" applyBorder="1" applyAlignment="1">
      <alignment horizontal="center"/>
    </xf>
    <xf numFmtId="2" fontId="9" fillId="0" borderId="22" xfId="0" applyNumberFormat="1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2" fontId="9" fillId="0" borderId="20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1" fontId="9" fillId="0" borderId="21" xfId="0" applyNumberFormat="1" applyFont="1" applyBorder="1"/>
    <xf numFmtId="1" fontId="9" fillId="0" borderId="22" xfId="0" applyNumberFormat="1" applyFont="1" applyBorder="1"/>
    <xf numFmtId="165" fontId="9" fillId="0" borderId="22" xfId="0" applyNumberFormat="1" applyFont="1" applyBorder="1"/>
    <xf numFmtId="2" fontId="9" fillId="0" borderId="22" xfId="0" applyNumberFormat="1" applyFont="1" applyBorder="1"/>
    <xf numFmtId="165" fontId="9" fillId="0" borderId="20" xfId="0" applyNumberFormat="1" applyFont="1" applyBorder="1"/>
    <xf numFmtId="1" fontId="9" fillId="0" borderId="19" xfId="0" applyNumberFormat="1" applyFont="1" applyBorder="1"/>
    <xf numFmtId="164" fontId="9" fillId="0" borderId="21" xfId="0" applyNumberFormat="1" applyFont="1" applyBorder="1"/>
    <xf numFmtId="164" fontId="9" fillId="0" borderId="29" xfId="0" applyNumberFormat="1" applyFont="1" applyBorder="1"/>
    <xf numFmtId="164" fontId="9" fillId="0" borderId="22" xfId="0" applyNumberFormat="1" applyFont="1" applyBorder="1"/>
    <xf numFmtId="2" fontId="9" fillId="0" borderId="29" xfId="0" applyNumberFormat="1" applyFont="1" applyBorder="1"/>
    <xf numFmtId="2" fontId="9" fillId="0" borderId="20" xfId="0" applyNumberFormat="1" applyFont="1" applyBorder="1"/>
    <xf numFmtId="165" fontId="9" fillId="0" borderId="19" xfId="0" applyNumberFormat="1" applyFont="1" applyBorder="1"/>
    <xf numFmtId="165" fontId="9" fillId="0" borderId="21" xfId="0" applyNumberFormat="1" applyFont="1" applyBorder="1"/>
    <xf numFmtId="1" fontId="9" fillId="0" borderId="20" xfId="0" applyNumberFormat="1" applyFont="1" applyBorder="1"/>
    <xf numFmtId="2" fontId="9" fillId="0" borderId="19" xfId="0" applyNumberFormat="1" applyFont="1" applyBorder="1"/>
    <xf numFmtId="2" fontId="9" fillId="0" borderId="19" xfId="0" applyNumberFormat="1" applyFont="1" applyBorder="1" applyAlignment="1">
      <alignment horizontal="center"/>
    </xf>
    <xf numFmtId="2" fontId="9" fillId="0" borderId="30" xfId="0" applyNumberFormat="1" applyFont="1" applyBorder="1" applyAlignment="1">
      <alignment horizontal="center"/>
    </xf>
    <xf numFmtId="165" fontId="9" fillId="0" borderId="30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9" fillId="2" borderId="30" xfId="0" applyNumberFormat="1" applyFont="1" applyFill="1" applyBorder="1"/>
    <xf numFmtId="165" fontId="9" fillId="2" borderId="30" xfId="0" applyNumberFormat="1" applyFont="1" applyFill="1" applyBorder="1"/>
    <xf numFmtId="2" fontId="9" fillId="2" borderId="30" xfId="0" applyNumberFormat="1" applyFont="1" applyFill="1" applyBorder="1"/>
    <xf numFmtId="2" fontId="9" fillId="0" borderId="31" xfId="0" applyNumberFormat="1" applyFont="1" applyBorder="1"/>
    <xf numFmtId="2" fontId="9" fillId="2" borderId="10" xfId="0" applyNumberFormat="1" applyFont="1" applyFill="1" applyBorder="1"/>
    <xf numFmtId="165" fontId="9" fillId="0" borderId="30" xfId="0" applyNumberFormat="1" applyFont="1" applyBorder="1"/>
    <xf numFmtId="2" fontId="9" fillId="0" borderId="30" xfId="0" applyNumberFormat="1" applyFont="1" applyBorder="1"/>
    <xf numFmtId="165" fontId="9" fillId="0" borderId="10" xfId="0" applyNumberFormat="1" applyFont="1" applyBorder="1"/>
    <xf numFmtId="164" fontId="9" fillId="0" borderId="32" xfId="0" applyNumberFormat="1" applyFont="1" applyBorder="1"/>
    <xf numFmtId="2" fontId="9" fillId="0" borderId="7" xfId="0" applyNumberFormat="1" applyFont="1" applyBorder="1"/>
    <xf numFmtId="165" fontId="9" fillId="0" borderId="32" xfId="0" applyNumberFormat="1" applyFont="1" applyBorder="1"/>
    <xf numFmtId="2" fontId="9" fillId="0" borderId="10" xfId="0" applyNumberFormat="1" applyFont="1" applyBorder="1"/>
    <xf numFmtId="165" fontId="9" fillId="0" borderId="7" xfId="0" applyNumberFormat="1" applyFont="1" applyBorder="1"/>
    <xf numFmtId="1" fontId="9" fillId="0" borderId="30" xfId="0" applyNumberFormat="1" applyFont="1" applyBorder="1"/>
    <xf numFmtId="164" fontId="9" fillId="0" borderId="5" xfId="0" applyNumberFormat="1" applyFont="1" applyBorder="1"/>
    <xf numFmtId="1" fontId="9" fillId="0" borderId="10" xfId="0" applyNumberFormat="1" applyFont="1" applyBorder="1"/>
    <xf numFmtId="2" fontId="9" fillId="0" borderId="5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165" fontId="9" fillId="0" borderId="2" xfId="0" applyNumberFormat="1" applyFont="1" applyBorder="1"/>
    <xf numFmtId="1" fontId="9" fillId="0" borderId="5" xfId="0" applyNumberFormat="1" applyFont="1" applyBorder="1"/>
    <xf numFmtId="2" fontId="9" fillId="0" borderId="5" xfId="0" applyNumberFormat="1" applyFont="1" applyBorder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100"/>
  <sheetViews>
    <sheetView tabSelected="1" zoomScale="7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F36" sqref="F36"/>
    </sheetView>
  </sheetViews>
  <sheetFormatPr baseColWidth="10" defaultColWidth="7.5" defaultRowHeight="14"/>
  <cols>
    <col min="1" max="1" width="12.1640625" style="1" customWidth="1"/>
    <col min="2" max="2" width="10.83203125" style="1" customWidth="1"/>
    <col min="3" max="7" width="8.83203125" style="1" customWidth="1"/>
    <col min="8" max="8" width="10.83203125" customWidth="1"/>
    <col min="9" max="16" width="8.83203125" style="1" customWidth="1"/>
    <col min="17" max="17" width="9.83203125" style="1" customWidth="1"/>
    <col min="18" max="71" width="8.83203125" style="1" customWidth="1"/>
    <col min="72" max="73" width="8" style="1" customWidth="1"/>
    <col min="74" max="79" width="8.83203125" style="1" customWidth="1"/>
    <col min="80" max="80" width="10.83203125" style="1" customWidth="1"/>
    <col min="81" max="81" width="9.83203125" style="1" customWidth="1"/>
    <col min="82" max="83" width="9.83203125" style="2" customWidth="1"/>
    <col min="84" max="84" width="8.83203125" style="1" customWidth="1"/>
    <col min="85" max="85" width="3.83203125" style="1" customWidth="1"/>
    <col min="86" max="89" width="8.83203125" style="1" customWidth="1"/>
    <col min="90" max="91" width="10.83203125" style="1" customWidth="1"/>
    <col min="92" max="93" width="8.83203125" style="1" customWidth="1"/>
    <col min="94" max="95" width="8.83203125" style="2" customWidth="1"/>
    <col min="96" max="96" width="3.83203125" style="1" customWidth="1"/>
    <col min="97" max="98" width="8.83203125" style="1" customWidth="1"/>
    <col min="99" max="99" width="7.5" style="1" customWidth="1"/>
    <col min="100" max="100" width="13.6640625" style="1" customWidth="1"/>
    <col min="101" max="101" width="7.5" style="1" customWidth="1"/>
    <col min="102" max="16384" width="7.5" style="1"/>
  </cols>
  <sheetData>
    <row r="1" spans="1:98" s="2" customFormat="1" ht="26.25" customHeight="1">
      <c r="P1" s="3" t="s">
        <v>0</v>
      </c>
    </row>
    <row r="2" spans="1:98" s="2" customFormat="1" ht="26.25" customHeight="1">
      <c r="A2" s="4" t="s">
        <v>141</v>
      </c>
      <c r="B2" s="180" t="s">
        <v>140</v>
      </c>
      <c r="P2" s="3" t="s">
        <v>141</v>
      </c>
      <c r="AJ2" s="4" t="s">
        <v>1</v>
      </c>
    </row>
    <row r="3" spans="1:98" s="2" customFormat="1" ht="18" customHeight="1">
      <c r="A3" s="4" t="s">
        <v>2</v>
      </c>
      <c r="AJ3" s="4" t="s">
        <v>3</v>
      </c>
    </row>
    <row r="4" spans="1:98" s="2" customFormat="1" ht="15" customHeight="1">
      <c r="A4" s="5" t="s">
        <v>4</v>
      </c>
      <c r="B4" s="5"/>
      <c r="H4" s="5"/>
      <c r="BT4" s="6"/>
      <c r="BU4" s="6"/>
    </row>
    <row r="5" spans="1:98" s="2" customFormat="1" ht="13">
      <c r="AS5" s="7"/>
      <c r="BS5" s="8"/>
      <c r="BT5" s="6"/>
      <c r="BV5" s="7"/>
      <c r="BW5" s="7"/>
      <c r="BX5" s="7"/>
      <c r="BY5" s="7"/>
      <c r="BZ5" s="7"/>
      <c r="CA5" s="7"/>
      <c r="CB5" s="7"/>
      <c r="CC5" s="7"/>
      <c r="CS5" s="7"/>
    </row>
    <row r="6" spans="1:98" s="2" customFormat="1">
      <c r="B6" s="9" t="s">
        <v>5</v>
      </c>
      <c r="C6" s="10"/>
      <c r="D6" s="10"/>
      <c r="E6" s="11"/>
      <c r="F6" s="11"/>
      <c r="G6" s="12"/>
      <c r="H6" s="13" t="s">
        <v>6</v>
      </c>
      <c r="I6" s="13"/>
      <c r="J6" s="11"/>
      <c r="K6" s="11"/>
      <c r="L6" s="11"/>
      <c r="M6" s="11"/>
      <c r="N6" s="11"/>
      <c r="O6" s="11"/>
      <c r="P6" s="11"/>
      <c r="Q6" s="9" t="s">
        <v>7</v>
      </c>
      <c r="R6" s="14"/>
      <c r="S6" s="9"/>
      <c r="T6" s="10"/>
      <c r="U6" s="10"/>
      <c r="V6" s="10"/>
      <c r="W6" s="14"/>
      <c r="X6" s="13" t="s">
        <v>8</v>
      </c>
      <c r="Y6" s="10"/>
      <c r="Z6" s="13"/>
      <c r="AA6" s="15"/>
      <c r="AB6" s="13"/>
      <c r="AC6" s="10"/>
      <c r="AD6" s="10"/>
      <c r="AE6" s="10"/>
      <c r="AF6" s="13"/>
      <c r="AG6" s="13"/>
      <c r="AH6" s="13"/>
      <c r="AI6" s="9" t="s">
        <v>9</v>
      </c>
      <c r="AJ6" s="13"/>
      <c r="AK6" s="15"/>
      <c r="AL6" s="13" t="s">
        <v>10</v>
      </c>
      <c r="AM6" s="9"/>
      <c r="AN6" s="15"/>
      <c r="AS6" s="16"/>
      <c r="AX6" s="17" t="s">
        <v>11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  <c r="BJ6" s="20"/>
      <c r="BK6" s="17" t="s">
        <v>12</v>
      </c>
      <c r="BL6" s="18"/>
      <c r="BM6" s="18"/>
      <c r="BN6" s="19"/>
      <c r="BO6" s="21"/>
      <c r="BP6" s="18"/>
      <c r="BQ6" s="18"/>
      <c r="BR6" s="18"/>
      <c r="BS6" s="22"/>
      <c r="BT6" s="18" t="s">
        <v>13</v>
      </c>
      <c r="BU6" s="18"/>
      <c r="BV6" s="13"/>
      <c r="BW6" s="13"/>
      <c r="BX6" s="23"/>
      <c r="CB6" s="24" t="s">
        <v>14</v>
      </c>
      <c r="CC6" s="15"/>
      <c r="CD6" s="9" t="s">
        <v>15</v>
      </c>
      <c r="CE6" s="13"/>
      <c r="CF6" s="25"/>
      <c r="CG6" s="26"/>
      <c r="CH6" s="18" t="s">
        <v>16</v>
      </c>
      <c r="CI6" s="18"/>
      <c r="CJ6" s="18"/>
      <c r="CK6" s="19"/>
      <c r="CL6" s="18"/>
      <c r="CM6" s="18"/>
      <c r="CN6" s="27"/>
      <c r="CO6" s="14"/>
      <c r="CP6" s="13" t="s">
        <v>17</v>
      </c>
      <c r="CQ6" s="28"/>
      <c r="CR6" s="29"/>
      <c r="CS6" s="30"/>
      <c r="CT6" s="31"/>
    </row>
    <row r="7" spans="1:98" s="2" customFormat="1" ht="13">
      <c r="B7" s="32">
        <v>1</v>
      </c>
      <c r="C7" s="32">
        <v>2</v>
      </c>
      <c r="D7" s="32">
        <v>3</v>
      </c>
      <c r="E7" s="32">
        <v>4</v>
      </c>
      <c r="F7" s="32">
        <v>5</v>
      </c>
      <c r="G7" s="32">
        <v>6</v>
      </c>
      <c r="H7" s="33">
        <v>7</v>
      </c>
      <c r="I7" s="32">
        <v>8</v>
      </c>
      <c r="J7" s="27">
        <v>9</v>
      </c>
      <c r="K7" s="32">
        <v>10</v>
      </c>
      <c r="L7" s="32">
        <v>11</v>
      </c>
      <c r="M7" s="27">
        <v>12</v>
      </c>
      <c r="N7" s="32">
        <v>13</v>
      </c>
      <c r="O7" s="32">
        <v>14</v>
      </c>
      <c r="P7" s="27">
        <v>15</v>
      </c>
      <c r="Q7" s="32">
        <v>16</v>
      </c>
      <c r="R7" s="32">
        <v>17</v>
      </c>
      <c r="S7" s="27">
        <v>18</v>
      </c>
      <c r="T7" s="32">
        <v>19</v>
      </c>
      <c r="U7" s="32">
        <v>20</v>
      </c>
      <c r="V7" s="27">
        <v>21</v>
      </c>
      <c r="W7" s="32">
        <v>22</v>
      </c>
      <c r="X7" s="33">
        <v>23</v>
      </c>
      <c r="Y7" s="27">
        <v>24</v>
      </c>
      <c r="Z7" s="32">
        <v>25</v>
      </c>
      <c r="AA7" s="32">
        <v>26</v>
      </c>
      <c r="AB7" s="27">
        <v>27</v>
      </c>
      <c r="AC7" s="32">
        <v>28</v>
      </c>
      <c r="AD7" s="32">
        <v>29</v>
      </c>
      <c r="AE7" s="27">
        <v>30</v>
      </c>
      <c r="AF7" s="32">
        <v>31</v>
      </c>
      <c r="AG7" s="32">
        <v>32</v>
      </c>
      <c r="AH7" s="27">
        <v>33</v>
      </c>
      <c r="AI7" s="32">
        <v>34</v>
      </c>
      <c r="AJ7" s="32">
        <v>35</v>
      </c>
      <c r="AK7" s="32">
        <v>36</v>
      </c>
      <c r="AL7" s="33">
        <v>37</v>
      </c>
      <c r="AM7" s="32">
        <v>38</v>
      </c>
      <c r="AN7" s="32">
        <v>39</v>
      </c>
      <c r="AS7" s="32">
        <v>45</v>
      </c>
      <c r="AX7" s="34">
        <v>50</v>
      </c>
      <c r="AY7" s="34">
        <v>51</v>
      </c>
      <c r="AZ7" s="34">
        <v>52</v>
      </c>
      <c r="BA7" s="34">
        <v>53</v>
      </c>
      <c r="BB7" s="34">
        <v>54</v>
      </c>
      <c r="BC7" s="34">
        <v>55</v>
      </c>
      <c r="BD7" s="34">
        <v>56</v>
      </c>
      <c r="BE7" s="34">
        <v>57</v>
      </c>
      <c r="BF7" s="34">
        <v>58</v>
      </c>
      <c r="BG7" s="34">
        <v>59</v>
      </c>
      <c r="BH7" s="34">
        <v>60</v>
      </c>
      <c r="BI7" s="34">
        <v>61</v>
      </c>
      <c r="BJ7" s="34">
        <v>62</v>
      </c>
      <c r="BK7" s="34">
        <v>63</v>
      </c>
      <c r="BL7" s="34">
        <v>64</v>
      </c>
      <c r="BM7" s="34">
        <v>65</v>
      </c>
      <c r="BN7" s="34">
        <v>66</v>
      </c>
      <c r="BO7" s="34">
        <v>67</v>
      </c>
      <c r="BP7" s="34">
        <v>68</v>
      </c>
      <c r="BQ7" s="34">
        <v>69</v>
      </c>
      <c r="BR7" s="34">
        <v>70</v>
      </c>
      <c r="BS7" s="35">
        <v>71</v>
      </c>
      <c r="BT7" s="36">
        <v>72</v>
      </c>
      <c r="BU7" s="37">
        <v>73</v>
      </c>
      <c r="BV7" s="37">
        <v>74</v>
      </c>
      <c r="BW7" s="37">
        <v>75</v>
      </c>
      <c r="BX7" s="35">
        <v>76</v>
      </c>
      <c r="BY7" s="38">
        <v>77</v>
      </c>
      <c r="BZ7" s="34">
        <v>78</v>
      </c>
      <c r="CA7" s="34">
        <v>79</v>
      </c>
      <c r="CB7" s="34">
        <v>80</v>
      </c>
      <c r="CC7" s="34">
        <v>81</v>
      </c>
      <c r="CD7" s="34">
        <v>82</v>
      </c>
      <c r="CE7" s="39">
        <v>83</v>
      </c>
      <c r="CF7" s="32">
        <v>84</v>
      </c>
      <c r="CG7" s="40"/>
      <c r="CH7" s="38">
        <v>86</v>
      </c>
      <c r="CI7" s="34">
        <v>87</v>
      </c>
      <c r="CJ7" s="34">
        <v>88</v>
      </c>
      <c r="CK7" s="34">
        <v>89</v>
      </c>
      <c r="CL7" s="34">
        <v>90</v>
      </c>
      <c r="CM7" s="39">
        <v>91</v>
      </c>
      <c r="CN7" s="32">
        <v>92</v>
      </c>
      <c r="CO7" s="33">
        <v>93</v>
      </c>
      <c r="CP7" s="33">
        <v>94</v>
      </c>
      <c r="CQ7" s="32">
        <v>95</v>
      </c>
      <c r="CR7" s="41"/>
      <c r="CS7" s="32">
        <v>97</v>
      </c>
      <c r="CT7" s="32">
        <v>98</v>
      </c>
    </row>
    <row r="8" spans="1:98" s="2" customFormat="1" ht="13">
      <c r="A8" s="42" t="s">
        <v>18</v>
      </c>
      <c r="B8" s="43" t="s">
        <v>19</v>
      </c>
      <c r="C8" s="40" t="s">
        <v>19</v>
      </c>
      <c r="D8" s="40" t="s">
        <v>19</v>
      </c>
      <c r="E8" s="40" t="s">
        <v>19</v>
      </c>
      <c r="F8" s="40" t="s">
        <v>19</v>
      </c>
      <c r="G8" s="40" t="s">
        <v>19</v>
      </c>
      <c r="H8" s="40" t="s">
        <v>20</v>
      </c>
      <c r="I8" s="44" t="s">
        <v>20</v>
      </c>
      <c r="J8" s="40" t="s">
        <v>20</v>
      </c>
      <c r="K8" s="40" t="s">
        <v>20</v>
      </c>
      <c r="L8" s="40" t="s">
        <v>20</v>
      </c>
      <c r="M8" s="45" t="s">
        <v>20</v>
      </c>
      <c r="N8" s="40" t="s">
        <v>20</v>
      </c>
      <c r="O8" s="40" t="s">
        <v>20</v>
      </c>
      <c r="P8" s="46" t="s">
        <v>20</v>
      </c>
      <c r="Q8" s="43" t="s">
        <v>21</v>
      </c>
      <c r="R8" s="46" t="s">
        <v>22</v>
      </c>
      <c r="S8" s="43" t="s">
        <v>23</v>
      </c>
      <c r="T8" s="46" t="s">
        <v>23</v>
      </c>
      <c r="U8" s="47" t="s">
        <v>23</v>
      </c>
      <c r="V8" s="40" t="s">
        <v>23</v>
      </c>
      <c r="W8" s="40" t="s">
        <v>24</v>
      </c>
      <c r="X8" s="40" t="s">
        <v>21</v>
      </c>
      <c r="Y8" s="46" t="s">
        <v>25</v>
      </c>
      <c r="Z8" s="43" t="s">
        <v>20</v>
      </c>
      <c r="AA8" s="43" t="s">
        <v>20</v>
      </c>
      <c r="AB8" s="47" t="s">
        <v>20</v>
      </c>
      <c r="AC8" s="40" t="s">
        <v>20</v>
      </c>
      <c r="AD8" s="40" t="s">
        <v>20</v>
      </c>
      <c r="AE8" s="40" t="s">
        <v>26</v>
      </c>
      <c r="AF8" s="40" t="s">
        <v>26</v>
      </c>
      <c r="AG8" s="40" t="s">
        <v>27</v>
      </c>
      <c r="AH8" s="46" t="s">
        <v>27</v>
      </c>
      <c r="AI8" s="47" t="s">
        <v>20</v>
      </c>
      <c r="AJ8" s="40" t="s">
        <v>20</v>
      </c>
      <c r="AK8" s="40" t="s">
        <v>20</v>
      </c>
      <c r="AL8" s="40"/>
      <c r="AM8" s="40" t="s">
        <v>28</v>
      </c>
      <c r="AN8" s="40" t="s">
        <v>28</v>
      </c>
      <c r="AS8" s="47" t="s">
        <v>19</v>
      </c>
      <c r="AX8" s="48" t="s">
        <v>26</v>
      </c>
      <c r="AY8" s="49" t="s">
        <v>19</v>
      </c>
      <c r="AZ8" s="49" t="s">
        <v>19</v>
      </c>
      <c r="BA8" s="49" t="s">
        <v>19</v>
      </c>
      <c r="BB8" s="50" t="s">
        <v>19</v>
      </c>
      <c r="BC8" s="48" t="s">
        <v>20</v>
      </c>
      <c r="BD8" s="49" t="s">
        <v>20</v>
      </c>
      <c r="BE8" s="49" t="s">
        <v>20</v>
      </c>
      <c r="BF8" s="49"/>
      <c r="BG8" s="49" t="s">
        <v>20</v>
      </c>
      <c r="BH8" s="49" t="s">
        <v>20</v>
      </c>
      <c r="BI8" s="51" t="s">
        <v>29</v>
      </c>
      <c r="BJ8" s="49" t="s">
        <v>20</v>
      </c>
      <c r="BK8" s="51" t="s">
        <v>30</v>
      </c>
      <c r="BL8" s="51" t="s">
        <v>31</v>
      </c>
      <c r="BM8" s="51" t="s">
        <v>30</v>
      </c>
      <c r="BN8" s="51" t="s">
        <v>31</v>
      </c>
      <c r="BO8" s="48" t="s">
        <v>26</v>
      </c>
      <c r="BP8" s="49"/>
      <c r="BQ8" s="49" t="s">
        <v>32</v>
      </c>
      <c r="BR8" s="49" t="s">
        <v>32</v>
      </c>
      <c r="BS8" s="52"/>
      <c r="BT8" s="53" t="s">
        <v>13</v>
      </c>
      <c r="BU8" s="54" t="s">
        <v>13</v>
      </c>
      <c r="BV8" s="55"/>
      <c r="BW8" s="55" t="s">
        <v>13</v>
      </c>
      <c r="BX8" s="56" t="s">
        <v>13</v>
      </c>
      <c r="BY8" s="49" t="s">
        <v>33</v>
      </c>
      <c r="BZ8" s="49" t="s">
        <v>33</v>
      </c>
      <c r="CA8" s="49" t="s">
        <v>33</v>
      </c>
      <c r="CB8" s="27" t="s">
        <v>34</v>
      </c>
      <c r="CC8" s="32" t="s">
        <v>35</v>
      </c>
      <c r="CD8" s="47" t="s">
        <v>36</v>
      </c>
      <c r="CE8" s="41" t="s">
        <v>37</v>
      </c>
      <c r="CF8" s="47" t="s">
        <v>20</v>
      </c>
      <c r="CG8" s="40"/>
      <c r="CH8" s="51" t="s">
        <v>30</v>
      </c>
      <c r="CI8" s="51" t="s">
        <v>31</v>
      </c>
      <c r="CJ8" s="51" t="s">
        <v>30</v>
      </c>
      <c r="CK8" s="51" t="s">
        <v>31</v>
      </c>
      <c r="CL8" s="51" t="s">
        <v>28</v>
      </c>
      <c r="CM8" s="57" t="s">
        <v>28</v>
      </c>
      <c r="CN8" s="47" t="s">
        <v>20</v>
      </c>
      <c r="CO8" s="40" t="s">
        <v>24</v>
      </c>
      <c r="CP8" s="44" t="s">
        <v>27</v>
      </c>
      <c r="CQ8" s="43" t="s">
        <v>27</v>
      </c>
      <c r="CR8" s="58"/>
      <c r="CS8" s="45" t="s">
        <v>20</v>
      </c>
      <c r="CT8" s="59" t="s">
        <v>20</v>
      </c>
    </row>
    <row r="9" spans="1:98" s="2" customFormat="1" ht="13">
      <c r="B9" s="47" t="s">
        <v>38</v>
      </c>
      <c r="C9" s="40" t="s">
        <v>38</v>
      </c>
      <c r="D9" s="40" t="s">
        <v>38</v>
      </c>
      <c r="E9" s="40" t="s">
        <v>38</v>
      </c>
      <c r="F9" s="40" t="s">
        <v>38</v>
      </c>
      <c r="G9" s="40" t="s">
        <v>38</v>
      </c>
      <c r="H9" s="40" t="s">
        <v>39</v>
      </c>
      <c r="I9" s="40" t="s">
        <v>39</v>
      </c>
      <c r="J9" s="40" t="s">
        <v>39</v>
      </c>
      <c r="K9" s="40" t="s">
        <v>39</v>
      </c>
      <c r="L9" s="40" t="s">
        <v>39</v>
      </c>
      <c r="M9" s="45" t="s">
        <v>39</v>
      </c>
      <c r="N9" s="40" t="s">
        <v>39</v>
      </c>
      <c r="O9" s="40" t="s">
        <v>39</v>
      </c>
      <c r="P9" s="46" t="s">
        <v>39</v>
      </c>
      <c r="Q9" s="47" t="s">
        <v>22</v>
      </c>
      <c r="R9" s="46" t="s">
        <v>40</v>
      </c>
      <c r="S9" s="47" t="s">
        <v>39</v>
      </c>
      <c r="T9" s="46" t="s">
        <v>38</v>
      </c>
      <c r="U9" s="47" t="s">
        <v>39</v>
      </c>
      <c r="V9" s="40" t="s">
        <v>39</v>
      </c>
      <c r="W9" s="40" t="s">
        <v>23</v>
      </c>
      <c r="X9" s="40" t="s">
        <v>41</v>
      </c>
      <c r="Y9" s="46" t="s">
        <v>42</v>
      </c>
      <c r="Z9" s="47" t="s">
        <v>39</v>
      </c>
      <c r="AA9" s="47" t="s">
        <v>39</v>
      </c>
      <c r="AB9" s="47" t="s">
        <v>39</v>
      </c>
      <c r="AC9" s="40" t="s">
        <v>39</v>
      </c>
      <c r="AD9" s="40" t="s">
        <v>39</v>
      </c>
      <c r="AE9" s="40" t="s">
        <v>43</v>
      </c>
      <c r="AF9" s="40" t="s">
        <v>43</v>
      </c>
      <c r="AG9" s="40"/>
      <c r="AH9" s="46"/>
      <c r="AI9" s="47" t="s">
        <v>44</v>
      </c>
      <c r="AJ9" s="40" t="s">
        <v>45</v>
      </c>
      <c r="AK9" s="40" t="s">
        <v>46</v>
      </c>
      <c r="AL9" s="40"/>
      <c r="AM9" s="40" t="s">
        <v>47</v>
      </c>
      <c r="AN9" s="40" t="s">
        <v>47</v>
      </c>
      <c r="AS9" s="47" t="s">
        <v>38</v>
      </c>
      <c r="AX9" s="60" t="s">
        <v>43</v>
      </c>
      <c r="AY9" s="49" t="s">
        <v>38</v>
      </c>
      <c r="AZ9" s="49" t="s">
        <v>38</v>
      </c>
      <c r="BA9" s="49" t="s">
        <v>38</v>
      </c>
      <c r="BB9" s="50" t="s">
        <v>38</v>
      </c>
      <c r="BC9" s="60" t="s">
        <v>39</v>
      </c>
      <c r="BD9" s="49" t="s">
        <v>39</v>
      </c>
      <c r="BE9" s="49" t="s">
        <v>39</v>
      </c>
      <c r="BF9" s="49"/>
      <c r="BG9" s="49" t="s">
        <v>39</v>
      </c>
      <c r="BH9" s="49" t="s">
        <v>39</v>
      </c>
      <c r="BI9" s="49" t="s">
        <v>48</v>
      </c>
      <c r="BJ9" s="49" t="s">
        <v>39</v>
      </c>
      <c r="BK9" s="49" t="s">
        <v>49</v>
      </c>
      <c r="BL9" s="49" t="s">
        <v>49</v>
      </c>
      <c r="BM9" s="49" t="s">
        <v>49</v>
      </c>
      <c r="BN9" s="49" t="s">
        <v>49</v>
      </c>
      <c r="BO9" s="60" t="s">
        <v>43</v>
      </c>
      <c r="BP9" s="49"/>
      <c r="BQ9" s="49" t="s">
        <v>39</v>
      </c>
      <c r="BR9" s="49" t="s">
        <v>39</v>
      </c>
      <c r="BS9" s="61"/>
      <c r="BT9" s="55" t="s">
        <v>39</v>
      </c>
      <c r="BU9" s="62" t="s">
        <v>39</v>
      </c>
      <c r="BV9" s="55"/>
      <c r="BW9" s="55" t="s">
        <v>39</v>
      </c>
      <c r="BX9" s="56" t="s">
        <v>39</v>
      </c>
      <c r="BY9" s="49" t="s">
        <v>39</v>
      </c>
      <c r="BZ9" s="49" t="s">
        <v>39</v>
      </c>
      <c r="CA9" s="49" t="s">
        <v>39</v>
      </c>
      <c r="CB9" s="47" t="s">
        <v>50</v>
      </c>
      <c r="CC9" s="47" t="s">
        <v>51</v>
      </c>
      <c r="CD9" s="43"/>
      <c r="CE9" s="43"/>
      <c r="CF9" s="47" t="s">
        <v>39</v>
      </c>
      <c r="CG9" s="40"/>
      <c r="CH9" s="49" t="s">
        <v>49</v>
      </c>
      <c r="CI9" s="49" t="s">
        <v>49</v>
      </c>
      <c r="CJ9" s="49" t="s">
        <v>49</v>
      </c>
      <c r="CK9" s="49" t="s">
        <v>49</v>
      </c>
      <c r="CL9" s="49" t="s">
        <v>52</v>
      </c>
      <c r="CM9" s="50" t="s">
        <v>52</v>
      </c>
      <c r="CN9" s="47" t="s">
        <v>39</v>
      </c>
      <c r="CO9" s="40" t="s">
        <v>20</v>
      </c>
      <c r="CP9" s="40"/>
      <c r="CQ9" s="47"/>
      <c r="CR9" s="58"/>
      <c r="CS9" s="45"/>
      <c r="CT9" s="59" t="s">
        <v>39</v>
      </c>
    </row>
    <row r="10" spans="1:98" s="2" customFormat="1" ht="13">
      <c r="B10" s="47" t="s">
        <v>53</v>
      </c>
      <c r="C10" s="40" t="s">
        <v>54</v>
      </c>
      <c r="D10" s="40" t="s">
        <v>55</v>
      </c>
      <c r="E10" s="40" t="s">
        <v>45</v>
      </c>
      <c r="F10" s="40" t="s">
        <v>46</v>
      </c>
      <c r="G10" s="40" t="s">
        <v>56</v>
      </c>
      <c r="H10" s="40" t="s">
        <v>53</v>
      </c>
      <c r="I10" s="40" t="s">
        <v>54</v>
      </c>
      <c r="J10" s="40" t="s">
        <v>44</v>
      </c>
      <c r="K10" s="40" t="s">
        <v>45</v>
      </c>
      <c r="L10" s="40" t="s">
        <v>46</v>
      </c>
      <c r="M10" s="45" t="s">
        <v>57</v>
      </c>
      <c r="N10" s="40" t="s">
        <v>56</v>
      </c>
      <c r="O10" s="40" t="s">
        <v>58</v>
      </c>
      <c r="P10" s="46" t="s">
        <v>59</v>
      </c>
      <c r="Q10" s="47" t="s">
        <v>60</v>
      </c>
      <c r="S10" s="47" t="s">
        <v>61</v>
      </c>
      <c r="T10" s="46" t="s">
        <v>62</v>
      </c>
      <c r="U10" s="47" t="s">
        <v>63</v>
      </c>
      <c r="V10" s="40" t="s">
        <v>64</v>
      </c>
      <c r="W10" s="40" t="s">
        <v>39</v>
      </c>
      <c r="X10" s="40" t="s">
        <v>65</v>
      </c>
      <c r="Y10" s="46" t="s">
        <v>40</v>
      </c>
      <c r="Z10" s="47" t="s">
        <v>66</v>
      </c>
      <c r="AA10" s="47" t="s">
        <v>24</v>
      </c>
      <c r="AB10" s="47" t="s">
        <v>61</v>
      </c>
      <c r="AC10" s="40" t="s">
        <v>63</v>
      </c>
      <c r="AD10" s="40" t="s">
        <v>64</v>
      </c>
      <c r="AE10" s="40"/>
      <c r="AF10" s="40" t="s">
        <v>67</v>
      </c>
      <c r="AG10" s="40"/>
      <c r="AH10" s="46"/>
      <c r="AI10" s="47" t="s">
        <v>68</v>
      </c>
      <c r="AJ10" s="40" t="s">
        <v>68</v>
      </c>
      <c r="AK10" s="40" t="s">
        <v>68</v>
      </c>
      <c r="AL10" s="40"/>
      <c r="AM10" s="40" t="s">
        <v>69</v>
      </c>
      <c r="AN10" s="40" t="s">
        <v>70</v>
      </c>
      <c r="AS10" s="47" t="s">
        <v>44</v>
      </c>
      <c r="AX10" s="60"/>
      <c r="AY10" s="49" t="s">
        <v>55</v>
      </c>
      <c r="AZ10" s="49" t="s">
        <v>45</v>
      </c>
      <c r="BA10" s="49" t="s">
        <v>46</v>
      </c>
      <c r="BB10" s="50" t="s">
        <v>56</v>
      </c>
      <c r="BC10" s="60" t="s">
        <v>54</v>
      </c>
      <c r="BD10" s="49" t="s">
        <v>44</v>
      </c>
      <c r="BE10" s="49" t="s">
        <v>45</v>
      </c>
      <c r="BF10" s="49"/>
      <c r="BG10" s="49" t="s">
        <v>56</v>
      </c>
      <c r="BH10" s="49" t="s">
        <v>71</v>
      </c>
      <c r="BI10" s="49" t="s">
        <v>72</v>
      </c>
      <c r="BJ10" s="49" t="s">
        <v>73</v>
      </c>
      <c r="BK10" s="49" t="s">
        <v>74</v>
      </c>
      <c r="BL10" s="49" t="s">
        <v>74</v>
      </c>
      <c r="BM10" s="49" t="s">
        <v>74</v>
      </c>
      <c r="BN10" s="49" t="s">
        <v>74</v>
      </c>
      <c r="BO10" s="60"/>
      <c r="BP10" s="47"/>
      <c r="BQ10" s="49" t="s">
        <v>56</v>
      </c>
      <c r="BR10" s="49" t="s">
        <v>71</v>
      </c>
      <c r="BS10" s="61"/>
      <c r="BT10" s="55" t="s">
        <v>56</v>
      </c>
      <c r="BU10" s="62" t="s">
        <v>71</v>
      </c>
      <c r="BV10" s="55"/>
      <c r="BW10" s="55" t="s">
        <v>56</v>
      </c>
      <c r="BX10" s="56" t="s">
        <v>71</v>
      </c>
      <c r="BY10" s="49" t="s">
        <v>46</v>
      </c>
      <c r="BZ10" s="49" t="s">
        <v>56</v>
      </c>
      <c r="CA10" s="49" t="s">
        <v>71</v>
      </c>
      <c r="CB10" s="47" t="s">
        <v>75</v>
      </c>
      <c r="CC10" s="47" t="s">
        <v>76</v>
      </c>
      <c r="CD10" s="63" t="s">
        <v>77</v>
      </c>
      <c r="CE10" s="64" t="s">
        <v>78</v>
      </c>
      <c r="CF10" s="47" t="s">
        <v>45</v>
      </c>
      <c r="CG10" s="40"/>
      <c r="CH10" s="49" t="s">
        <v>74</v>
      </c>
      <c r="CI10" s="49" t="s">
        <v>74</v>
      </c>
      <c r="CJ10" s="49" t="s">
        <v>74</v>
      </c>
      <c r="CK10" s="49" t="s">
        <v>74</v>
      </c>
      <c r="CL10" s="49" t="s">
        <v>74</v>
      </c>
      <c r="CM10" s="50" t="s">
        <v>74</v>
      </c>
      <c r="CN10" s="47" t="s">
        <v>73</v>
      </c>
      <c r="CO10" s="40" t="s">
        <v>39</v>
      </c>
      <c r="CP10" s="40" t="s">
        <v>79</v>
      </c>
      <c r="CQ10" s="47" t="s">
        <v>67</v>
      </c>
      <c r="CR10" s="58"/>
      <c r="CS10" s="45" t="s">
        <v>57</v>
      </c>
      <c r="CT10" s="59" t="s">
        <v>57</v>
      </c>
    </row>
    <row r="11" spans="1:98" s="2" customFormat="1" ht="13">
      <c r="B11" s="4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5"/>
      <c r="N11" s="40"/>
      <c r="O11" s="40"/>
      <c r="P11" s="46"/>
      <c r="Q11" s="47" t="s">
        <v>80</v>
      </c>
      <c r="S11" s="47" t="s">
        <v>81</v>
      </c>
      <c r="T11" s="46" t="s">
        <v>82</v>
      </c>
      <c r="U11" s="47" t="s">
        <v>81</v>
      </c>
      <c r="V11" s="40" t="s">
        <v>81</v>
      </c>
      <c r="W11" s="40" t="s">
        <v>61</v>
      </c>
      <c r="X11" s="40" t="s">
        <v>80</v>
      </c>
      <c r="Z11" s="47" t="s">
        <v>83</v>
      </c>
      <c r="AA11" s="47" t="s">
        <v>84</v>
      </c>
      <c r="AB11" s="47" t="s">
        <v>81</v>
      </c>
      <c r="AC11" s="40" t="s">
        <v>81</v>
      </c>
      <c r="AD11" s="40" t="s">
        <v>81</v>
      </c>
      <c r="AE11" s="40" t="s">
        <v>85</v>
      </c>
      <c r="AF11" s="40" t="s">
        <v>85</v>
      </c>
      <c r="AG11" s="40" t="s">
        <v>85</v>
      </c>
      <c r="AH11" s="46" t="s">
        <v>85</v>
      </c>
      <c r="AI11" s="47"/>
      <c r="AJ11" s="40"/>
      <c r="AK11" s="40"/>
      <c r="AL11" s="40"/>
      <c r="AM11" s="40" t="s">
        <v>86</v>
      </c>
      <c r="AN11" s="40" t="s">
        <v>86</v>
      </c>
      <c r="AS11" s="47"/>
      <c r="AX11" s="60" t="s">
        <v>85</v>
      </c>
      <c r="AY11" s="49"/>
      <c r="AZ11" s="49"/>
      <c r="BA11" s="49"/>
      <c r="BB11" s="50"/>
      <c r="BC11" s="60"/>
      <c r="BD11" s="49"/>
      <c r="BE11" s="49"/>
      <c r="BF11" s="49"/>
      <c r="BG11" s="49"/>
      <c r="BH11" s="49"/>
      <c r="BI11" s="49" t="s">
        <v>87</v>
      </c>
      <c r="BJ11" s="49"/>
      <c r="BK11" s="49" t="s">
        <v>88</v>
      </c>
      <c r="BL11" s="49" t="s">
        <v>88</v>
      </c>
      <c r="BM11" s="49" t="s">
        <v>89</v>
      </c>
      <c r="BN11" s="49" t="s">
        <v>89</v>
      </c>
      <c r="BO11" s="60" t="s">
        <v>85</v>
      </c>
      <c r="BP11" s="60"/>
      <c r="BQ11" s="49"/>
      <c r="BR11" s="49"/>
      <c r="BS11" s="61"/>
      <c r="BT11" s="55"/>
      <c r="BU11" s="62"/>
      <c r="BV11" s="55"/>
      <c r="BW11" s="55"/>
      <c r="BX11" s="56"/>
      <c r="BY11" s="49"/>
      <c r="BZ11" s="49"/>
      <c r="CA11" s="49"/>
      <c r="CB11" s="47" t="s">
        <v>90</v>
      </c>
      <c r="CC11" s="47" t="s">
        <v>91</v>
      </c>
      <c r="CD11" s="6" t="s">
        <v>87</v>
      </c>
      <c r="CE11" s="6"/>
      <c r="CF11" s="47"/>
      <c r="CG11" s="40"/>
      <c r="CH11" s="49" t="s">
        <v>88</v>
      </c>
      <c r="CI11" s="49" t="s">
        <v>88</v>
      </c>
      <c r="CJ11" s="49" t="s">
        <v>89</v>
      </c>
      <c r="CK11" s="49" t="s">
        <v>89</v>
      </c>
      <c r="CL11" s="49" t="s">
        <v>89</v>
      </c>
      <c r="CM11" s="50" t="s">
        <v>88</v>
      </c>
      <c r="CN11" s="47"/>
      <c r="CO11" s="40" t="s">
        <v>61</v>
      </c>
      <c r="CP11" s="40" t="s">
        <v>85</v>
      </c>
      <c r="CQ11" s="47" t="s">
        <v>85</v>
      </c>
      <c r="CR11" s="58"/>
      <c r="CS11" s="45"/>
      <c r="CT11" s="59"/>
    </row>
    <row r="12" spans="1:98" s="2" customFormat="1" ht="13.5" customHeight="1">
      <c r="B12" s="65" t="s">
        <v>92</v>
      </c>
      <c r="C12" s="66"/>
      <c r="D12" s="67" t="s">
        <v>93</v>
      </c>
      <c r="E12" s="67" t="s">
        <v>93</v>
      </c>
      <c r="F12" s="67" t="s">
        <v>93</v>
      </c>
      <c r="G12" s="65" t="s">
        <v>93</v>
      </c>
      <c r="H12" s="66" t="s">
        <v>92</v>
      </c>
      <c r="I12" s="66"/>
      <c r="J12" s="67" t="s">
        <v>93</v>
      </c>
      <c r="K12" s="67" t="s">
        <v>93</v>
      </c>
      <c r="L12" s="67" t="s">
        <v>93</v>
      </c>
      <c r="M12" s="68" t="s">
        <v>93</v>
      </c>
      <c r="N12" s="67" t="s">
        <v>93</v>
      </c>
      <c r="O12" s="67" t="s">
        <v>93</v>
      </c>
      <c r="P12" s="67" t="s">
        <v>93</v>
      </c>
      <c r="Q12" s="65" t="s">
        <v>94</v>
      </c>
      <c r="R12" s="67" t="s">
        <v>93</v>
      </c>
      <c r="S12" s="65" t="s">
        <v>93</v>
      </c>
      <c r="T12" s="67" t="s">
        <v>93</v>
      </c>
      <c r="U12" s="65" t="s">
        <v>93</v>
      </c>
      <c r="V12" s="66" t="s">
        <v>93</v>
      </c>
      <c r="W12" s="66" t="s">
        <v>95</v>
      </c>
      <c r="X12" s="66" t="s">
        <v>96</v>
      </c>
      <c r="Y12" s="65" t="s">
        <v>93</v>
      </c>
      <c r="Z12" s="65" t="s">
        <v>97</v>
      </c>
      <c r="AA12" s="65"/>
      <c r="AB12" s="65" t="s">
        <v>93</v>
      </c>
      <c r="AC12" s="66" t="s">
        <v>93</v>
      </c>
      <c r="AD12" s="66" t="s">
        <v>93</v>
      </c>
      <c r="AE12" s="66" t="s">
        <v>98</v>
      </c>
      <c r="AF12" s="66" t="s">
        <v>98</v>
      </c>
      <c r="AG12" s="66" t="s">
        <v>98</v>
      </c>
      <c r="AH12" s="69" t="s">
        <v>98</v>
      </c>
      <c r="AI12" s="65" t="s">
        <v>99</v>
      </c>
      <c r="AJ12" s="66" t="s">
        <v>99</v>
      </c>
      <c r="AK12" s="66" t="s">
        <v>99</v>
      </c>
      <c r="AL12" s="66"/>
      <c r="AM12" s="66" t="s">
        <v>100</v>
      </c>
      <c r="AN12" s="66" t="s">
        <v>100</v>
      </c>
      <c r="AS12" s="65" t="s">
        <v>93</v>
      </c>
      <c r="AX12" s="70" t="s">
        <v>98</v>
      </c>
      <c r="AY12" s="70" t="s">
        <v>93</v>
      </c>
      <c r="AZ12" s="70" t="s">
        <v>93</v>
      </c>
      <c r="BA12" s="70" t="s">
        <v>93</v>
      </c>
      <c r="BB12" s="70" t="s">
        <v>93</v>
      </c>
      <c r="BC12" s="70"/>
      <c r="BD12" s="70" t="s">
        <v>93</v>
      </c>
      <c r="BE12" s="70" t="s">
        <v>93</v>
      </c>
      <c r="BF12" s="70"/>
      <c r="BG12" s="70" t="s">
        <v>93</v>
      </c>
      <c r="BH12" s="70" t="s">
        <v>93</v>
      </c>
      <c r="BI12" s="70" t="s">
        <v>93</v>
      </c>
      <c r="BJ12" s="70" t="s">
        <v>93</v>
      </c>
      <c r="BK12" s="70" t="s">
        <v>100</v>
      </c>
      <c r="BL12" s="70" t="s">
        <v>100</v>
      </c>
      <c r="BM12" s="70" t="s">
        <v>100</v>
      </c>
      <c r="BN12" s="70" t="s">
        <v>100</v>
      </c>
      <c r="BO12" s="70" t="s">
        <v>98</v>
      </c>
      <c r="BP12" s="71"/>
      <c r="BQ12" s="71" t="s">
        <v>93</v>
      </c>
      <c r="BR12" s="71" t="s">
        <v>93</v>
      </c>
      <c r="BS12" s="72"/>
      <c r="BT12" s="73" t="s">
        <v>93</v>
      </c>
      <c r="BU12" s="74" t="s">
        <v>93</v>
      </c>
      <c r="BV12" s="74"/>
      <c r="BW12" s="74" t="s">
        <v>93</v>
      </c>
      <c r="BX12" s="72" t="s">
        <v>93</v>
      </c>
      <c r="BY12" s="75" t="s">
        <v>93</v>
      </c>
      <c r="BZ12" s="70" t="s">
        <v>93</v>
      </c>
      <c r="CA12" s="70" t="s">
        <v>93</v>
      </c>
      <c r="CB12" s="65" t="s">
        <v>101</v>
      </c>
      <c r="CC12" s="65" t="s">
        <v>101</v>
      </c>
      <c r="CD12" s="65" t="s">
        <v>102</v>
      </c>
      <c r="CE12" s="67" t="s">
        <v>102</v>
      </c>
      <c r="CF12" s="65" t="s">
        <v>93</v>
      </c>
      <c r="CG12" s="40"/>
      <c r="CH12" s="75" t="s">
        <v>100</v>
      </c>
      <c r="CI12" s="70" t="s">
        <v>100</v>
      </c>
      <c r="CJ12" s="70" t="s">
        <v>100</v>
      </c>
      <c r="CK12" s="70" t="s">
        <v>100</v>
      </c>
      <c r="CL12" s="70" t="s">
        <v>100</v>
      </c>
      <c r="CM12" s="71" t="s">
        <v>100</v>
      </c>
      <c r="CN12" s="65" t="s">
        <v>93</v>
      </c>
      <c r="CO12" s="66" t="s">
        <v>95</v>
      </c>
      <c r="CP12" s="66" t="s">
        <v>98</v>
      </c>
      <c r="CQ12" s="65" t="s">
        <v>98</v>
      </c>
      <c r="CR12" s="76"/>
      <c r="CS12" s="77" t="s">
        <v>93</v>
      </c>
      <c r="CT12" s="77" t="s">
        <v>93</v>
      </c>
    </row>
    <row r="13" spans="1:98" s="78" customFormat="1" ht="20" customHeight="1">
      <c r="A13" s="79">
        <f>DATE(2025,3,21)</f>
        <v>45737</v>
      </c>
      <c r="B13" s="80">
        <v>9.4130000000000003</v>
      </c>
      <c r="C13" s="81">
        <v>6.5</v>
      </c>
      <c r="D13" s="82"/>
      <c r="E13" s="82"/>
      <c r="F13" s="81"/>
      <c r="G13" s="83"/>
      <c r="H13" s="84">
        <f t="shared" ref="H13:H28" si="0">fneQ</f>
        <v>9.4130000000000003</v>
      </c>
      <c r="I13" s="81">
        <v>6.51</v>
      </c>
      <c r="J13" s="82"/>
      <c r="K13" s="81" t="str">
        <f t="shared" ref="K13:K28" si="1">IF(tssfne="",IF(tssdmrfne="","",tssdmrfne),tssfne)</f>
        <v/>
      </c>
      <c r="L13" s="84"/>
      <c r="M13" s="84"/>
      <c r="N13" s="84" t="str">
        <f t="shared" ref="N13:N28" si="2">IF(fnetkn_auto="",IF(fne_ntkn_auto="","",fne_ntkn_auto),fnetkn_auto)</f>
        <v/>
      </c>
      <c r="O13" s="84" t="str">
        <f t="shared" ref="O13:O28" si="3">IF(fnenox_auto="",IF(fne_nnox_auto="","",fne_nnox_auto),fnenox_auto)</f>
        <v/>
      </c>
      <c r="P13" s="84" t="str">
        <f t="shared" ref="P13:P28" si="4">IF(AND(LEFT(fnetkn_auto,1)="&lt;",LEFT(fnenox_auto)="&lt;"),(SUBSTITUTE(fnetkn_auto,"&lt;",""))/2,IF(ISERROR(zzzfnetkn_auto+zzzfnenox_auto),"",(zzzfnetkn_auto+zzzfnenox_auto)))</f>
        <v/>
      </c>
      <c r="Q13" s="85">
        <v>229.48</v>
      </c>
      <c r="R13" s="84">
        <f t="shared" ref="R13:R28" si="5">IF(ISBLANK(cttkiq),"",(_postcl2/(cttkiq*8.34)))</f>
        <v>2.5197424478000015</v>
      </c>
      <c r="S13" s="84">
        <v>0.67</v>
      </c>
      <c r="T13" s="84">
        <f t="shared" ref="T13:T28" si="6">IF(ISERROR((_postcl2/(cttkiq*8.34))-cl2resav),"",IF(ISBLANK(cttkiq),"",IF(((_postcl2/(cttkiq*8.34))-cl2resav)&lt;0,0,((_postcl2/(cttkiq*8.34))-cl2resav))))</f>
        <v>1.8497424478000015</v>
      </c>
      <c r="U13" s="84">
        <v>0.76</v>
      </c>
      <c r="V13" s="84">
        <v>0.59</v>
      </c>
      <c r="W13" s="86">
        <v>0</v>
      </c>
      <c r="X13" s="82">
        <v>91</v>
      </c>
      <c r="Y13" s="84">
        <f t="shared" ref="Y13:Y28" si="7">IF(ISBLANK(_so2),"",_so2/(fneQ*8.34))</f>
        <v>1.1591704008513153</v>
      </c>
      <c r="Z13" s="84">
        <v>0.02</v>
      </c>
      <c r="AA13" s="87">
        <v>1</v>
      </c>
      <c r="AB13" s="84">
        <v>0.02</v>
      </c>
      <c r="AC13" s="84">
        <v>0.02</v>
      </c>
      <c r="AD13" s="84">
        <v>0.02</v>
      </c>
      <c r="AE13" s="82"/>
      <c r="AF13" s="82"/>
      <c r="AG13" s="82"/>
      <c r="AH13" s="82"/>
      <c r="AI13" s="85" t="str">
        <f t="shared" ref="AI13:AI28" si="8">IF(ISERROR(fneQ*zzfnebod*3.785),"",fneQ*zzfnebod*3.785)</f>
        <v/>
      </c>
      <c r="AJ13" s="82" t="str">
        <f t="shared" ref="AJ13:AJ28" si="9">IF(ISERROR(fneQ*zzfnetss*3.785),"",fneQ*zzfnetss*3.785)</f>
        <v/>
      </c>
      <c r="AK13" s="86" t="str">
        <f t="shared" ref="AK13:AK28" si="10">IF(ISERROR(fneQ*zzzfnetp_auto*3.785),"",fneQ*zzzfnetp_auto*3.785)</f>
        <v/>
      </c>
      <c r="AL13" s="87"/>
      <c r="AM13" s="84">
        <f t="shared" ref="AM13:AM28" si="11">IF(o22emaxs="",o21emaxs,o22emaxs)</f>
        <v>0</v>
      </c>
      <c r="AN13" s="88">
        <f t="shared" ref="AN13:AN28" si="12">IF(o22eaves="",o21eaves,o22eaves)</f>
        <v>0</v>
      </c>
      <c r="AO13" s="89"/>
      <c r="AP13" s="89"/>
      <c r="AQ13" s="89"/>
      <c r="AR13" s="89"/>
      <c r="AS13" s="90"/>
      <c r="AT13" s="89"/>
      <c r="AU13" s="89"/>
      <c r="AV13" s="89"/>
      <c r="AW13" s="89"/>
      <c r="AX13" s="91" t="str">
        <f t="shared" ref="AX13:AX28" si="13">IF(ISBLANK(fne_fcfc_mf),"",IF(RIGHT(fne_fcfc_mf,1)="*","",VALUE(SUBSTITUTE(SUBSTITUTE(fne_fcfc_mf,"&lt;",""),"&gt;",""))))</f>
        <v/>
      </c>
      <c r="AY13" s="92" t="str">
        <f t="shared" ref="AY13:AY28" si="14">IF(ISBLANK(rwicbod),"",IF(RIGHT(rwicbod,1)="*","",VALUE(SUBSTITUTE(SUBSTITUTE(rwicbod,"&lt;",""),"&gt;",""))))</f>
        <v/>
      </c>
      <c r="AZ13" s="92" t="str">
        <f t="shared" ref="AZ13:AZ28" si="15">IF(ISBLANK(rwitss),"",IF(RIGHT(rwitss,1)="*","",VALUE(SUBSTITUTE(SUBSTITUTE(rwitss,"&lt;",""),"&gt;",""))))</f>
        <v/>
      </c>
      <c r="BA13" s="93" t="str">
        <f t="shared" ref="BA13:BA28" si="16">IF(ISBLANK(rwitp_auto),"",IF(RIGHT(rwitp_auto,1)="*","",VALUE(SUBSTITUTE(SUBSTITUTE(rwitp_auto,"&lt;",""),"&gt;",""))))</f>
        <v/>
      </c>
      <c r="BB13" s="93" t="str">
        <f t="shared" ref="BB13:BB28" si="17">IF(ISBLANK(rwitkn_auto),"",IF(RIGHT(rwitkn_auto,1)="*","",VALUE(SUBSTITUTE(SUBSTITUTE(rwitkn_auto,"&lt;",""),"&gt;",""))))</f>
        <v/>
      </c>
      <c r="BC13" s="93">
        <f t="shared" ref="BC13:BC28" si="18">IF(ISBLANK(fnephavg),"",IF(RIGHT(fnephavg,1)="*","",VALUE(SUBSTITUTE(SUBSTITUTE(fnephavg,"&lt;",""),"&gt;",""))))</f>
        <v>6.51</v>
      </c>
      <c r="BD13" s="93" t="str">
        <f t="shared" ref="BD13:BD28" si="19">IF(ISBLANK(fnebod),"",IF(RIGHT(fnebod,1)="*","",IF(LEFT(fnebod,1)="&lt;",0,fnebod)))</f>
        <v/>
      </c>
      <c r="BE13" s="93" t="str">
        <f t="shared" ref="BE13:BE28" si="20">IF(fnetss="","",IF(RIGHT(fnetss,1)="*","",IF(LEFT(fnetss,1)="&lt;",0,fnetss)))</f>
        <v/>
      </c>
      <c r="BF13" s="93"/>
      <c r="BG13" s="94" t="str">
        <f t="shared" ref="BG13:BG28" si="21">IF(ISBLANK(fnetkn_auto),"",IF(RIGHT(fnetkn_auto,1)="*","",VALUE(SUBSTITUTE(SUBSTITUTE(fnetkn_auto,"&lt;",""),"&gt;",""))))</f>
        <v/>
      </c>
      <c r="BH13" s="94" t="str">
        <f t="shared" ref="BH13:BH28" si="22">IF(ISBLANK(fnenox_auto),"",IF(RIGHT(fnenox_auto,1)="*","",IF(LEFT(fnenox_auto,1)="&lt;",0,fnenox_auto)))</f>
        <v/>
      </c>
      <c r="BI13" s="94">
        <v>10.92</v>
      </c>
      <c r="BJ13" s="95" t="str">
        <f t="shared" ref="BJ13:BJ28" si="23">IF(ISBLANK(fnenh3_auto),"",IF(RIGHT(fnenh3_auto,1)="*","",VALUE(SUBSTITUTE(SUBSTITUTE(fnenh3_auto,"&lt;",""),"&gt;",""))))</f>
        <v/>
      </c>
      <c r="BK13" s="94">
        <v>0.2</v>
      </c>
      <c r="BL13" s="95">
        <v>0.1</v>
      </c>
      <c r="BM13" s="94">
        <v>1.1000000000000001</v>
      </c>
      <c r="BN13" s="95">
        <v>0.8</v>
      </c>
      <c r="BO13" s="96" t="str">
        <f t="shared" ref="BO13:BO28" si="24">IF(ISBLANK(fne_fc2fc_mf2),"",IF(RIGHT(fne_fc2fc_mf2,1)="*","",VALUE(SUBSTITUTE(SUBSTITUTE(fne_fc2fc_mf2,"&lt;",""),"&gt;",""))))</f>
        <v/>
      </c>
      <c r="BP13" s="89"/>
      <c r="BQ13" s="94"/>
      <c r="BR13" s="97"/>
      <c r="BS13" s="98"/>
      <c r="BT13" s="94"/>
      <c r="BU13" s="97"/>
      <c r="BV13" s="89"/>
      <c r="BW13" s="94" t="str">
        <f t="shared" ref="BW13:BW28" si="25">IF(ISBLANK(fne_ntkn_auto),"",IF(RIGHT(fne_ntkn_auto,1)="*","",IF(LEFT(fne_ntkn_auto,1)="&lt;",0,fne_ntkn_auto)))</f>
        <v/>
      </c>
      <c r="BX13" s="99" t="str">
        <f t="shared" ref="BX13:BX28" si="26">IF(ISBLANK(fne_nnox_auto),"",IF(RIGHT(fne_nnox_auto,1)="*","",IF(LEFT(fne_nnox_auto,1)="&lt;",0,fne_nnox_auto)))</f>
        <v/>
      </c>
      <c r="BY13" s="89" t="str">
        <f t="shared" ref="BY13:BY28" si="27">IF(zfnetp_auto="","",IF(RIGHT(zfnetp_auto,1)="*","",IF(LEFT(zfnetp_auto,1)="&lt;",SUBSTITUTE(zfnetp_auto,"&lt;","")/2,zfnetp_auto)))</f>
        <v/>
      </c>
      <c r="BZ13" s="94" t="str">
        <f t="shared" ref="BZ13:BZ28" si="28">IF(zfnetkn_auto="","",IF(RIGHT(zfnetkn_auto,1)="*","",VALUE(SUBSTITUTE(SUBSTITUTE(zfnetkn_auto,"&lt;",""),"&gt;",""))))</f>
        <v/>
      </c>
      <c r="CA13" s="100" t="str">
        <f t="shared" ref="CA13:CA28" si="29">IF(zfnenox_auto="","",IF(RIGHT(zfnenox_auto,1)="*","",IF(LEFT(zfnenox_auto,1)="&lt;",0,zfnenox_auto)))</f>
        <v/>
      </c>
      <c r="CB13" s="101"/>
      <c r="CC13" s="101"/>
      <c r="CD13" s="94">
        <f t="shared" ref="CD13:CD28" si="30">fneQ-reuseq</f>
        <v>9.4130000000000003</v>
      </c>
      <c r="CE13" s="94"/>
      <c r="CF13" s="102"/>
      <c r="CG13" s="103"/>
      <c r="CH13" s="94"/>
      <c r="CI13" s="95"/>
      <c r="CJ13" s="94"/>
      <c r="CK13" s="95"/>
      <c r="CL13" s="94"/>
      <c r="CM13" s="104"/>
      <c r="CN13" s="105"/>
      <c r="CO13" s="106"/>
      <c r="CP13" s="92" t="str">
        <f t="shared" ref="CP13:CP28" si="31">IF(ISBLANK(fne_entero_mf1),"",IF(RIGHT(fne_entero_mf1,1)="*","",VALUE(SUBSTITUTE(SUBSTITUTE(fne_entero_mf1,"&lt;",""),"&gt;",""))))</f>
        <v/>
      </c>
      <c r="CQ13" s="106" t="str">
        <f t="shared" ref="CQ13:CQ28" si="32">IF(ISBLANK(fne_entero_mf2),"",IF(RIGHT(fne_entero_mf2,1)="*","",VALUE(SUBSTITUTE(SUBSTITUTE(fne_entero_mf2,"&lt;",""),"&gt;",""))))</f>
        <v/>
      </c>
      <c r="CR13" s="94"/>
      <c r="CS13" s="107"/>
      <c r="CT13" s="108"/>
    </row>
    <row r="14" spans="1:98" s="78" customFormat="1" ht="20" customHeight="1">
      <c r="A14" s="79">
        <f>DATE(2025,3,22)</f>
        <v>45738</v>
      </c>
      <c r="B14" s="109">
        <v>9.2059999999999995</v>
      </c>
      <c r="C14" s="81">
        <v>6.7</v>
      </c>
      <c r="D14" s="82"/>
      <c r="E14" s="82"/>
      <c r="F14" s="81"/>
      <c r="G14" s="83"/>
      <c r="H14" s="84">
        <f t="shared" si="0"/>
        <v>9.2059999999999995</v>
      </c>
      <c r="I14" s="81">
        <v>6.74</v>
      </c>
      <c r="J14" s="82"/>
      <c r="K14" s="81" t="str">
        <f t="shared" si="1"/>
        <v/>
      </c>
      <c r="L14" s="84"/>
      <c r="M14" s="84"/>
      <c r="N14" s="84" t="str">
        <f t="shared" si="2"/>
        <v/>
      </c>
      <c r="O14" s="84" t="str">
        <f t="shared" si="3"/>
        <v/>
      </c>
      <c r="P14" s="84" t="str">
        <f t="shared" si="4"/>
        <v/>
      </c>
      <c r="Q14" s="85">
        <v>216</v>
      </c>
      <c r="R14" s="84">
        <f t="shared" si="5"/>
        <v>2.4137260555022895</v>
      </c>
      <c r="S14" s="84">
        <v>0.65</v>
      </c>
      <c r="T14" s="84">
        <f t="shared" si="6"/>
        <v>1.7637260555022896</v>
      </c>
      <c r="U14" s="84">
        <v>0.74</v>
      </c>
      <c r="V14" s="84">
        <v>0.49</v>
      </c>
      <c r="W14" s="86">
        <v>1</v>
      </c>
      <c r="X14" s="82">
        <v>93.6</v>
      </c>
      <c r="Y14" s="84">
        <f t="shared" si="7"/>
        <v>1.219098586001935</v>
      </c>
      <c r="Z14" s="84">
        <v>0.01</v>
      </c>
      <c r="AA14" s="87">
        <v>1</v>
      </c>
      <c r="AB14" s="84">
        <v>0.01</v>
      </c>
      <c r="AC14" s="84">
        <v>0.01</v>
      </c>
      <c r="AD14" s="84">
        <v>0.01</v>
      </c>
      <c r="AE14" s="82"/>
      <c r="AF14" s="82"/>
      <c r="AG14" s="82"/>
      <c r="AH14" s="82"/>
      <c r="AI14" s="85" t="str">
        <f t="shared" si="8"/>
        <v/>
      </c>
      <c r="AJ14" s="82" t="str">
        <f t="shared" si="9"/>
        <v/>
      </c>
      <c r="AK14" s="86" t="str">
        <f t="shared" si="10"/>
        <v/>
      </c>
      <c r="AL14" s="87"/>
      <c r="AM14" s="84">
        <f t="shared" si="11"/>
        <v>0</v>
      </c>
      <c r="AN14" s="110">
        <f t="shared" si="12"/>
        <v>0</v>
      </c>
      <c r="AO14" s="89"/>
      <c r="AP14" s="89"/>
      <c r="AQ14" s="89"/>
      <c r="AR14" s="89"/>
      <c r="AS14" s="90"/>
      <c r="AT14" s="89"/>
      <c r="AU14" s="89"/>
      <c r="AV14" s="89"/>
      <c r="AW14" s="89"/>
      <c r="AX14" s="111" t="str">
        <f t="shared" si="13"/>
        <v/>
      </c>
      <c r="AY14" s="92" t="str">
        <f t="shared" si="14"/>
        <v/>
      </c>
      <c r="AZ14" s="92" t="str">
        <f t="shared" si="15"/>
        <v/>
      </c>
      <c r="BA14" s="93" t="str">
        <f t="shared" si="16"/>
        <v/>
      </c>
      <c r="BB14" s="93" t="str">
        <f t="shared" si="17"/>
        <v/>
      </c>
      <c r="BC14" s="93">
        <f t="shared" si="18"/>
        <v>6.74</v>
      </c>
      <c r="BD14" s="93" t="str">
        <f t="shared" si="19"/>
        <v/>
      </c>
      <c r="BE14" s="93" t="str">
        <f t="shared" si="20"/>
        <v/>
      </c>
      <c r="BF14" s="93"/>
      <c r="BG14" s="94" t="str">
        <f t="shared" si="21"/>
        <v/>
      </c>
      <c r="BH14" s="94" t="str">
        <f t="shared" si="22"/>
        <v/>
      </c>
      <c r="BI14" s="94">
        <v>10.73</v>
      </c>
      <c r="BJ14" s="103" t="str">
        <f t="shared" si="23"/>
        <v/>
      </c>
      <c r="BK14" s="94">
        <v>0.2</v>
      </c>
      <c r="BL14" s="103">
        <v>0.2</v>
      </c>
      <c r="BM14" s="94">
        <v>1.1000000000000001</v>
      </c>
      <c r="BN14" s="103">
        <v>0.9</v>
      </c>
      <c r="BO14" s="112" t="str">
        <f t="shared" si="24"/>
        <v/>
      </c>
      <c r="BP14" s="89"/>
      <c r="BQ14" s="94"/>
      <c r="BR14" s="94"/>
      <c r="BS14" s="98"/>
      <c r="BT14" s="94"/>
      <c r="BU14" s="94"/>
      <c r="BV14" s="89"/>
      <c r="BW14" s="94" t="str">
        <f t="shared" si="25"/>
        <v/>
      </c>
      <c r="BX14" s="113" t="str">
        <f t="shared" si="26"/>
        <v/>
      </c>
      <c r="BY14" s="89" t="str">
        <f t="shared" si="27"/>
        <v/>
      </c>
      <c r="BZ14" s="94" t="str">
        <f t="shared" si="28"/>
        <v/>
      </c>
      <c r="CA14" s="114" t="str">
        <f t="shared" si="29"/>
        <v/>
      </c>
      <c r="CB14" s="101"/>
      <c r="CC14" s="101"/>
      <c r="CD14" s="94">
        <f t="shared" si="30"/>
        <v>9.2059999999999995</v>
      </c>
      <c r="CE14" s="94"/>
      <c r="CF14" s="102"/>
      <c r="CG14" s="103"/>
      <c r="CH14" s="94"/>
      <c r="CI14" s="103"/>
      <c r="CJ14" s="94"/>
      <c r="CK14" s="103"/>
      <c r="CL14" s="94"/>
      <c r="CM14" s="93"/>
      <c r="CN14" s="105"/>
      <c r="CO14" s="106"/>
      <c r="CP14" s="92" t="str">
        <f t="shared" si="31"/>
        <v/>
      </c>
      <c r="CQ14" s="106" t="str">
        <f t="shared" si="32"/>
        <v/>
      </c>
      <c r="CR14" s="94"/>
      <c r="CS14" s="115"/>
      <c r="CT14" s="108"/>
    </row>
    <row r="15" spans="1:98" s="78" customFormat="1" ht="20" customHeight="1">
      <c r="A15" s="79">
        <f>DATE(2025,3,23)</f>
        <v>45739</v>
      </c>
      <c r="B15" s="109">
        <v>9.4079999999999995</v>
      </c>
      <c r="C15" s="81">
        <v>6.4</v>
      </c>
      <c r="D15" s="82">
        <v>175</v>
      </c>
      <c r="E15" s="82">
        <v>134</v>
      </c>
      <c r="F15" s="81">
        <v>4.4400000000000004</v>
      </c>
      <c r="G15" s="83">
        <v>36</v>
      </c>
      <c r="H15" s="84">
        <f t="shared" si="0"/>
        <v>9.4079999999999995</v>
      </c>
      <c r="I15" s="81">
        <v>6.65</v>
      </c>
      <c r="J15" s="82">
        <v>3</v>
      </c>
      <c r="K15" s="81">
        <f t="shared" si="1"/>
        <v>2.7</v>
      </c>
      <c r="L15" s="84">
        <v>0.17</v>
      </c>
      <c r="M15" s="84">
        <v>0.03</v>
      </c>
      <c r="N15" s="84">
        <f t="shared" si="2"/>
        <v>1.64</v>
      </c>
      <c r="O15" s="84">
        <f t="shared" si="3"/>
        <v>1.58</v>
      </c>
      <c r="P15" s="84">
        <f t="shared" si="4"/>
        <v>3.2199999999999998</v>
      </c>
      <c r="Q15" s="85">
        <v>219.25</v>
      </c>
      <c r="R15" s="84">
        <f t="shared" si="5"/>
        <v>2.4052121523275432</v>
      </c>
      <c r="S15" s="84">
        <v>0.66</v>
      </c>
      <c r="T15" s="84">
        <f t="shared" si="6"/>
        <v>1.745212152327543</v>
      </c>
      <c r="U15" s="84">
        <v>0.76</v>
      </c>
      <c r="V15" s="84">
        <v>0.59</v>
      </c>
      <c r="W15" s="86">
        <v>0</v>
      </c>
      <c r="X15" s="82">
        <v>93.6</v>
      </c>
      <c r="Y15" s="84">
        <f t="shared" si="7"/>
        <v>1.1929232124504479</v>
      </c>
      <c r="Z15" s="84">
        <v>0.01</v>
      </c>
      <c r="AA15" s="87">
        <v>1</v>
      </c>
      <c r="AB15" s="84">
        <v>0.01</v>
      </c>
      <c r="AC15" s="84">
        <v>0.01</v>
      </c>
      <c r="AD15" s="84">
        <v>0.01</v>
      </c>
      <c r="AE15" s="82"/>
      <c r="AF15" s="82"/>
      <c r="AG15" s="82"/>
      <c r="AH15" s="82"/>
      <c r="AI15" s="85">
        <f t="shared" si="8"/>
        <v>106.82783999999999</v>
      </c>
      <c r="AJ15" s="82">
        <f t="shared" si="9"/>
        <v>96.145056000000011</v>
      </c>
      <c r="AK15" s="86">
        <f t="shared" si="10"/>
        <v>6.0535776000000006</v>
      </c>
      <c r="AL15" s="87"/>
      <c r="AM15" s="84">
        <f t="shared" si="11"/>
        <v>0</v>
      </c>
      <c r="AN15" s="110">
        <f t="shared" si="12"/>
        <v>0</v>
      </c>
      <c r="AO15" s="89"/>
      <c r="AP15" s="89"/>
      <c r="AQ15" s="89"/>
      <c r="AR15" s="89"/>
      <c r="AS15" s="90"/>
      <c r="AT15" s="89"/>
      <c r="AU15" s="89"/>
      <c r="AV15" s="89"/>
      <c r="AW15" s="89"/>
      <c r="AX15" s="111" t="str">
        <f t="shared" si="13"/>
        <v/>
      </c>
      <c r="AY15" s="92">
        <f t="shared" si="14"/>
        <v>175</v>
      </c>
      <c r="AZ15" s="92">
        <f t="shared" si="15"/>
        <v>134</v>
      </c>
      <c r="BA15" s="93">
        <f t="shared" si="16"/>
        <v>4.4400000000000004</v>
      </c>
      <c r="BB15" s="93">
        <f t="shared" si="17"/>
        <v>36</v>
      </c>
      <c r="BC15" s="93">
        <f t="shared" si="18"/>
        <v>6.65</v>
      </c>
      <c r="BD15" s="93">
        <f t="shared" si="19"/>
        <v>3</v>
      </c>
      <c r="BE15" s="93">
        <f t="shared" si="20"/>
        <v>2.7</v>
      </c>
      <c r="BF15" s="93"/>
      <c r="BG15" s="94">
        <f t="shared" si="21"/>
        <v>1.64</v>
      </c>
      <c r="BH15" s="94">
        <f t="shared" si="22"/>
        <v>1.58</v>
      </c>
      <c r="BI15" s="94">
        <v>10.93</v>
      </c>
      <c r="BJ15" s="103" t="str">
        <f t="shared" si="23"/>
        <v/>
      </c>
      <c r="BK15" s="94">
        <v>0.1</v>
      </c>
      <c r="BL15" s="103">
        <v>0</v>
      </c>
      <c r="BM15" s="94">
        <v>0.4</v>
      </c>
      <c r="BN15" s="103">
        <v>0</v>
      </c>
      <c r="BO15" s="112" t="str">
        <f t="shared" si="24"/>
        <v/>
      </c>
      <c r="BP15" s="89"/>
      <c r="BQ15" s="94">
        <v>1.64</v>
      </c>
      <c r="BR15" s="94">
        <v>1.58</v>
      </c>
      <c r="BS15" s="98"/>
      <c r="BT15" s="94"/>
      <c r="BU15" s="94"/>
      <c r="BV15" s="89"/>
      <c r="BW15" s="94" t="str">
        <f t="shared" si="25"/>
        <v/>
      </c>
      <c r="BX15" s="113" t="str">
        <f t="shared" si="26"/>
        <v/>
      </c>
      <c r="BY15" s="89">
        <f t="shared" si="27"/>
        <v>0.17</v>
      </c>
      <c r="BZ15" s="94">
        <f t="shared" si="28"/>
        <v>1.64</v>
      </c>
      <c r="CA15" s="114">
        <f t="shared" si="29"/>
        <v>1.58</v>
      </c>
      <c r="CB15" s="101"/>
      <c r="CC15" s="101"/>
      <c r="CD15" s="94">
        <f t="shared" si="30"/>
        <v>9.4079999999999995</v>
      </c>
      <c r="CE15" s="94"/>
      <c r="CF15" s="102">
        <v>2.7</v>
      </c>
      <c r="CG15" s="103"/>
      <c r="CH15" s="94"/>
      <c r="CI15" s="103"/>
      <c r="CJ15" s="94"/>
      <c r="CK15" s="103"/>
      <c r="CL15" s="94"/>
      <c r="CM15" s="93"/>
      <c r="CN15" s="105"/>
      <c r="CO15" s="106"/>
      <c r="CP15" s="92" t="str">
        <f t="shared" si="31"/>
        <v/>
      </c>
      <c r="CQ15" s="106" t="str">
        <f t="shared" si="32"/>
        <v/>
      </c>
      <c r="CR15" s="94"/>
      <c r="CS15" s="115"/>
      <c r="CT15" s="108"/>
    </row>
    <row r="16" spans="1:98" s="78" customFormat="1" ht="20" customHeight="1">
      <c r="A16" s="79">
        <f>DATE(2025,3,24)</f>
        <v>45740</v>
      </c>
      <c r="B16" s="109">
        <v>9.0229999999999997</v>
      </c>
      <c r="C16" s="81">
        <v>6.5</v>
      </c>
      <c r="D16" s="82"/>
      <c r="E16" s="82">
        <v>115</v>
      </c>
      <c r="F16" s="81"/>
      <c r="G16" s="83"/>
      <c r="H16" s="84">
        <f t="shared" si="0"/>
        <v>9.0229999999999997</v>
      </c>
      <c r="I16" s="81">
        <v>6.62</v>
      </c>
      <c r="J16" s="82">
        <v>4</v>
      </c>
      <c r="K16" s="81">
        <f t="shared" si="1"/>
        <v>3.3</v>
      </c>
      <c r="L16" s="84">
        <v>0.22</v>
      </c>
      <c r="M16" s="84">
        <v>0.04</v>
      </c>
      <c r="N16" s="84">
        <f t="shared" si="2"/>
        <v>1.91</v>
      </c>
      <c r="O16" s="84">
        <f t="shared" si="3"/>
        <v>2.15</v>
      </c>
      <c r="P16" s="84">
        <f t="shared" si="4"/>
        <v>4.0599999999999996</v>
      </c>
      <c r="Q16" s="85">
        <v>258.75</v>
      </c>
      <c r="R16" s="84">
        <f t="shared" si="5"/>
        <v>2.9352109608434347</v>
      </c>
      <c r="S16" s="84">
        <v>0.67</v>
      </c>
      <c r="T16" s="84">
        <f t="shared" si="6"/>
        <v>2.2652109608434348</v>
      </c>
      <c r="U16" s="84">
        <v>0.78</v>
      </c>
      <c r="V16" s="84">
        <v>0.45</v>
      </c>
      <c r="W16" s="86">
        <v>1</v>
      </c>
      <c r="X16" s="82">
        <v>91</v>
      </c>
      <c r="Y16" s="84">
        <f t="shared" si="7"/>
        <v>1.2092730780464844</v>
      </c>
      <c r="Z16" s="84">
        <v>0.03</v>
      </c>
      <c r="AA16" s="87">
        <v>1</v>
      </c>
      <c r="AB16" s="84">
        <v>0.03</v>
      </c>
      <c r="AC16" s="84">
        <v>0.03</v>
      </c>
      <c r="AD16" s="84">
        <v>0.03</v>
      </c>
      <c r="AE16" s="82"/>
      <c r="AF16" s="82"/>
      <c r="AG16" s="82"/>
      <c r="AH16" s="82"/>
      <c r="AI16" s="85">
        <f t="shared" si="8"/>
        <v>136.60821999999999</v>
      </c>
      <c r="AJ16" s="82">
        <f t="shared" si="9"/>
        <v>112.7017815</v>
      </c>
      <c r="AK16" s="86">
        <f t="shared" si="10"/>
        <v>7.5134521000000003</v>
      </c>
      <c r="AL16" s="87"/>
      <c r="AM16" s="84">
        <f t="shared" si="11"/>
        <v>0</v>
      </c>
      <c r="AN16" s="110">
        <f t="shared" si="12"/>
        <v>0</v>
      </c>
      <c r="AO16" s="89"/>
      <c r="AP16" s="89"/>
      <c r="AQ16" s="89"/>
      <c r="AR16" s="89"/>
      <c r="AS16" s="90"/>
      <c r="AT16" s="89"/>
      <c r="AU16" s="89"/>
      <c r="AV16" s="89"/>
      <c r="AW16" s="89"/>
      <c r="AX16" s="111" t="str">
        <f t="shared" si="13"/>
        <v/>
      </c>
      <c r="AY16" s="92" t="str">
        <f t="shared" si="14"/>
        <v/>
      </c>
      <c r="AZ16" s="92">
        <f t="shared" si="15"/>
        <v>115</v>
      </c>
      <c r="BA16" s="93" t="str">
        <f t="shared" si="16"/>
        <v/>
      </c>
      <c r="BB16" s="93" t="str">
        <f t="shared" si="17"/>
        <v/>
      </c>
      <c r="BC16" s="93">
        <f t="shared" si="18"/>
        <v>6.62</v>
      </c>
      <c r="BD16" s="93">
        <f t="shared" si="19"/>
        <v>4</v>
      </c>
      <c r="BE16" s="93">
        <f t="shared" si="20"/>
        <v>3.3</v>
      </c>
      <c r="BF16" s="93"/>
      <c r="BG16" s="94">
        <f t="shared" si="21"/>
        <v>1.91</v>
      </c>
      <c r="BH16" s="94">
        <f t="shared" si="22"/>
        <v>2.15</v>
      </c>
      <c r="BI16" s="94">
        <v>10.57</v>
      </c>
      <c r="BJ16" s="103" t="str">
        <f t="shared" si="23"/>
        <v/>
      </c>
      <c r="BK16" s="94">
        <v>0.2</v>
      </c>
      <c r="BL16" s="103">
        <v>0.1</v>
      </c>
      <c r="BM16" s="94">
        <v>1.5</v>
      </c>
      <c r="BN16" s="103">
        <v>1</v>
      </c>
      <c r="BO16" s="112" t="str">
        <f t="shared" si="24"/>
        <v/>
      </c>
      <c r="BP16" s="89"/>
      <c r="BQ16" s="94">
        <v>1.91</v>
      </c>
      <c r="BR16" s="94">
        <v>2.15</v>
      </c>
      <c r="BS16" s="98"/>
      <c r="BT16" s="94"/>
      <c r="BU16" s="94"/>
      <c r="BV16" s="89"/>
      <c r="BW16" s="94" t="str">
        <f t="shared" si="25"/>
        <v/>
      </c>
      <c r="BX16" s="113" t="str">
        <f t="shared" si="26"/>
        <v/>
      </c>
      <c r="BY16" s="89">
        <f t="shared" si="27"/>
        <v>0.22</v>
      </c>
      <c r="BZ16" s="94">
        <f t="shared" si="28"/>
        <v>1.91</v>
      </c>
      <c r="CA16" s="114">
        <f t="shared" si="29"/>
        <v>2.15</v>
      </c>
      <c r="CB16" s="101"/>
      <c r="CC16" s="101"/>
      <c r="CD16" s="94">
        <f t="shared" si="30"/>
        <v>9.0229999999999997</v>
      </c>
      <c r="CE16" s="94"/>
      <c r="CF16" s="102">
        <v>3.3</v>
      </c>
      <c r="CG16" s="103"/>
      <c r="CH16" s="94"/>
      <c r="CI16" s="103"/>
      <c r="CJ16" s="94"/>
      <c r="CK16" s="103"/>
      <c r="CL16" s="94"/>
      <c r="CM16" s="93"/>
      <c r="CN16" s="105"/>
      <c r="CO16" s="106"/>
      <c r="CP16" s="92" t="str">
        <f t="shared" si="31"/>
        <v/>
      </c>
      <c r="CQ16" s="106" t="str">
        <f t="shared" si="32"/>
        <v/>
      </c>
      <c r="CR16" s="94"/>
      <c r="CS16" s="115"/>
      <c r="CT16" s="108"/>
    </row>
    <row r="17" spans="1:98" s="78" customFormat="1" ht="20" customHeight="1">
      <c r="A17" s="79">
        <f>DATE(2025,3,25)</f>
        <v>45741</v>
      </c>
      <c r="B17" s="109">
        <v>8.8740000000000006</v>
      </c>
      <c r="C17" s="81">
        <v>6.5</v>
      </c>
      <c r="D17" s="82"/>
      <c r="E17" s="82">
        <v>130</v>
      </c>
      <c r="F17" s="81">
        <v>4.8899999999999997</v>
      </c>
      <c r="G17" s="83">
        <v>37.700000000000003</v>
      </c>
      <c r="H17" s="84">
        <f t="shared" si="0"/>
        <v>8.8740000000000006</v>
      </c>
      <c r="I17" s="81">
        <v>6.51</v>
      </c>
      <c r="J17" s="82">
        <v>3</v>
      </c>
      <c r="K17" s="81">
        <f t="shared" si="1"/>
        <v>2.4</v>
      </c>
      <c r="L17" s="84">
        <v>0.21</v>
      </c>
      <c r="M17" s="84">
        <v>0.04</v>
      </c>
      <c r="N17" s="84">
        <f t="shared" si="2"/>
        <v>2.04</v>
      </c>
      <c r="O17" s="84">
        <f t="shared" si="3"/>
        <v>3.45</v>
      </c>
      <c r="P17" s="84">
        <f t="shared" si="4"/>
        <v>5.49</v>
      </c>
      <c r="Q17" s="85">
        <v>322.77999999999997</v>
      </c>
      <c r="R17" s="84">
        <f t="shared" si="5"/>
        <v>3.7000609837178056</v>
      </c>
      <c r="S17" s="84">
        <v>0.6</v>
      </c>
      <c r="T17" s="84">
        <f t="shared" si="6"/>
        <v>3.1000609837178055</v>
      </c>
      <c r="U17" s="84">
        <v>0.84</v>
      </c>
      <c r="V17" s="84">
        <v>0.5</v>
      </c>
      <c r="W17" s="86">
        <v>0</v>
      </c>
      <c r="X17" s="82">
        <v>91</v>
      </c>
      <c r="Y17" s="84">
        <f t="shared" si="7"/>
        <v>1.2295775279708618</v>
      </c>
      <c r="Z17" s="84">
        <v>0.01</v>
      </c>
      <c r="AA17" s="87">
        <v>1</v>
      </c>
      <c r="AB17" s="84">
        <v>0.01</v>
      </c>
      <c r="AC17" s="84">
        <v>0.01</v>
      </c>
      <c r="AD17" s="84">
        <v>0.01</v>
      </c>
      <c r="AE17" s="82" t="s">
        <v>103</v>
      </c>
      <c r="AF17" s="82"/>
      <c r="AG17" s="82" t="s">
        <v>103</v>
      </c>
      <c r="AH17" s="82"/>
      <c r="AI17" s="85">
        <f t="shared" si="8"/>
        <v>100.76427000000001</v>
      </c>
      <c r="AJ17" s="82">
        <f t="shared" si="9"/>
        <v>80.611416000000006</v>
      </c>
      <c r="AK17" s="86">
        <f t="shared" si="10"/>
        <v>7.0534989000000001</v>
      </c>
      <c r="AL17" s="87"/>
      <c r="AM17" s="84">
        <f t="shared" si="11"/>
        <v>0</v>
      </c>
      <c r="AN17" s="110">
        <f t="shared" si="12"/>
        <v>0</v>
      </c>
      <c r="AO17" s="89"/>
      <c r="AP17" s="89"/>
      <c r="AQ17" s="89"/>
      <c r="AR17" s="89"/>
      <c r="AS17" s="90"/>
      <c r="AT17" s="89"/>
      <c r="AU17" s="89"/>
      <c r="AV17" s="89"/>
      <c r="AW17" s="89"/>
      <c r="AX17" s="111">
        <f t="shared" si="13"/>
        <v>1</v>
      </c>
      <c r="AY17" s="92" t="str">
        <f t="shared" si="14"/>
        <v/>
      </c>
      <c r="AZ17" s="92">
        <f t="shared" si="15"/>
        <v>130</v>
      </c>
      <c r="BA17" s="93">
        <f t="shared" si="16"/>
        <v>4.8899999999999997</v>
      </c>
      <c r="BB17" s="93">
        <f t="shared" si="17"/>
        <v>37.700000000000003</v>
      </c>
      <c r="BC17" s="93">
        <f t="shared" si="18"/>
        <v>6.51</v>
      </c>
      <c r="BD17" s="93">
        <f t="shared" si="19"/>
        <v>3</v>
      </c>
      <c r="BE17" s="93">
        <f t="shared" si="20"/>
        <v>2.4</v>
      </c>
      <c r="BF17" s="93"/>
      <c r="BG17" s="94">
        <f t="shared" si="21"/>
        <v>2.04</v>
      </c>
      <c r="BH17" s="94">
        <f t="shared" si="22"/>
        <v>3.45</v>
      </c>
      <c r="BI17" s="94">
        <v>10.46</v>
      </c>
      <c r="BJ17" s="103" t="str">
        <f t="shared" si="23"/>
        <v/>
      </c>
      <c r="BK17" s="94">
        <v>0.4</v>
      </c>
      <c r="BL17" s="103">
        <v>0.3</v>
      </c>
      <c r="BM17" s="94">
        <v>1.5</v>
      </c>
      <c r="BN17" s="103">
        <v>1.2</v>
      </c>
      <c r="BO17" s="112" t="str">
        <f t="shared" si="24"/>
        <v/>
      </c>
      <c r="BP17" s="89"/>
      <c r="BQ17" s="94">
        <v>2.04</v>
      </c>
      <c r="BR17" s="94">
        <v>3.45</v>
      </c>
      <c r="BS17" s="98"/>
      <c r="BT17" s="94"/>
      <c r="BU17" s="94"/>
      <c r="BV17" s="89"/>
      <c r="BW17" s="94" t="str">
        <f t="shared" si="25"/>
        <v/>
      </c>
      <c r="BX17" s="113" t="str">
        <f t="shared" si="26"/>
        <v/>
      </c>
      <c r="BY17" s="89">
        <f t="shared" si="27"/>
        <v>0.21</v>
      </c>
      <c r="BZ17" s="94">
        <f t="shared" si="28"/>
        <v>2.04</v>
      </c>
      <c r="CA17" s="114">
        <f t="shared" si="29"/>
        <v>3.45</v>
      </c>
      <c r="CB17" s="101"/>
      <c r="CC17" s="101"/>
      <c r="CD17" s="94">
        <f t="shared" si="30"/>
        <v>8.8740000000000006</v>
      </c>
      <c r="CE17" s="94"/>
      <c r="CF17" s="102">
        <v>2.4</v>
      </c>
      <c r="CG17" s="103"/>
      <c r="CH17" s="94"/>
      <c r="CI17" s="103"/>
      <c r="CJ17" s="94"/>
      <c r="CK17" s="103"/>
      <c r="CL17" s="94"/>
      <c r="CM17" s="93"/>
      <c r="CN17" s="105"/>
      <c r="CO17" s="106"/>
      <c r="CP17" s="92">
        <f t="shared" si="31"/>
        <v>1</v>
      </c>
      <c r="CQ17" s="106" t="str">
        <f t="shared" si="32"/>
        <v/>
      </c>
      <c r="CR17" s="94"/>
      <c r="CS17" s="115"/>
      <c r="CT17" s="108"/>
    </row>
    <row r="18" spans="1:98" s="78" customFormat="1" ht="20" customHeight="1">
      <c r="A18" s="79">
        <f>DATE(2025,3,26)</f>
        <v>45742</v>
      </c>
      <c r="B18" s="109">
        <v>8.7799999999999994</v>
      </c>
      <c r="C18" s="81">
        <v>6.6</v>
      </c>
      <c r="D18" s="82"/>
      <c r="E18" s="82">
        <v>175</v>
      </c>
      <c r="F18" s="81"/>
      <c r="G18" s="83"/>
      <c r="H18" s="84">
        <f t="shared" si="0"/>
        <v>8.7799999999999994</v>
      </c>
      <c r="I18" s="81">
        <v>6.52</v>
      </c>
      <c r="J18" s="82">
        <v>3</v>
      </c>
      <c r="K18" s="81">
        <f t="shared" si="1"/>
        <v>2.5</v>
      </c>
      <c r="L18" s="84">
        <v>0.23</v>
      </c>
      <c r="M18" s="84">
        <v>0.06</v>
      </c>
      <c r="N18" s="84">
        <f t="shared" si="2"/>
        <v>1.99</v>
      </c>
      <c r="O18" s="84">
        <f t="shared" si="3"/>
        <v>3.85</v>
      </c>
      <c r="P18" s="84">
        <f t="shared" si="4"/>
        <v>5.84</v>
      </c>
      <c r="Q18" s="85">
        <v>327.51</v>
      </c>
      <c r="R18" s="84">
        <f t="shared" si="5"/>
        <v>3.7868644332364387</v>
      </c>
      <c r="S18" s="84">
        <v>0.57999999999999996</v>
      </c>
      <c r="T18" s="84">
        <f t="shared" si="6"/>
        <v>3.2068644332364387</v>
      </c>
      <c r="U18" s="84">
        <v>0.67</v>
      </c>
      <c r="V18" s="84">
        <v>0.53</v>
      </c>
      <c r="W18" s="86">
        <v>0</v>
      </c>
      <c r="X18" s="82">
        <v>96.2</v>
      </c>
      <c r="Y18" s="84">
        <f t="shared" si="7"/>
        <v>1.3137553738330523</v>
      </c>
      <c r="Z18" s="84">
        <v>0.02</v>
      </c>
      <c r="AA18" s="87">
        <v>1</v>
      </c>
      <c r="AB18" s="84">
        <v>0.02</v>
      </c>
      <c r="AC18" s="84">
        <v>0.02</v>
      </c>
      <c r="AD18" s="84">
        <v>0.02</v>
      </c>
      <c r="AE18" s="82"/>
      <c r="AF18" s="82"/>
      <c r="AG18" s="82"/>
      <c r="AH18" s="82"/>
      <c r="AI18" s="85">
        <f t="shared" si="8"/>
        <v>99.696899999999985</v>
      </c>
      <c r="AJ18" s="82">
        <f t="shared" si="9"/>
        <v>83.080749999999995</v>
      </c>
      <c r="AK18" s="86">
        <f t="shared" si="10"/>
        <v>7.6434290000000003</v>
      </c>
      <c r="AL18" s="87"/>
      <c r="AM18" s="84">
        <f t="shared" si="11"/>
        <v>0</v>
      </c>
      <c r="AN18" s="110">
        <f t="shared" si="12"/>
        <v>0</v>
      </c>
      <c r="AO18" s="89"/>
      <c r="AP18" s="89"/>
      <c r="AQ18" s="89"/>
      <c r="AR18" s="89"/>
      <c r="AS18" s="90"/>
      <c r="AT18" s="89"/>
      <c r="AU18" s="89"/>
      <c r="AV18" s="89"/>
      <c r="AW18" s="89"/>
      <c r="AX18" s="111" t="str">
        <f t="shared" si="13"/>
        <v/>
      </c>
      <c r="AY18" s="92" t="str">
        <f t="shared" si="14"/>
        <v/>
      </c>
      <c r="AZ18" s="92">
        <f t="shared" si="15"/>
        <v>175</v>
      </c>
      <c r="BA18" s="93" t="str">
        <f t="shared" si="16"/>
        <v/>
      </c>
      <c r="BB18" s="93" t="str">
        <f t="shared" si="17"/>
        <v/>
      </c>
      <c r="BC18" s="93">
        <f t="shared" si="18"/>
        <v>6.52</v>
      </c>
      <c r="BD18" s="93">
        <f t="shared" si="19"/>
        <v>3</v>
      </c>
      <c r="BE18" s="93">
        <f t="shared" si="20"/>
        <v>2.5</v>
      </c>
      <c r="BF18" s="93"/>
      <c r="BG18" s="94">
        <f t="shared" si="21"/>
        <v>1.99</v>
      </c>
      <c r="BH18" s="94">
        <f t="shared" si="22"/>
        <v>3.85</v>
      </c>
      <c r="BI18" s="94">
        <v>10.37</v>
      </c>
      <c r="BJ18" s="103" t="str">
        <f t="shared" si="23"/>
        <v/>
      </c>
      <c r="BK18" s="94">
        <v>0.2</v>
      </c>
      <c r="BL18" s="103">
        <v>0.1</v>
      </c>
      <c r="BM18" s="94">
        <v>0.8</v>
      </c>
      <c r="BN18" s="103">
        <v>0.5</v>
      </c>
      <c r="BO18" s="112" t="str">
        <f t="shared" si="24"/>
        <v/>
      </c>
      <c r="BP18" s="89"/>
      <c r="BQ18" s="94">
        <v>1.99</v>
      </c>
      <c r="BR18" s="94">
        <v>3.85</v>
      </c>
      <c r="BS18" s="98"/>
      <c r="BT18" s="94"/>
      <c r="BU18" s="94"/>
      <c r="BV18" s="89"/>
      <c r="BW18" s="94" t="str">
        <f t="shared" si="25"/>
        <v/>
      </c>
      <c r="BX18" s="113" t="str">
        <f t="shared" si="26"/>
        <v/>
      </c>
      <c r="BY18" s="89">
        <f t="shared" si="27"/>
        <v>0.23</v>
      </c>
      <c r="BZ18" s="94">
        <f t="shared" si="28"/>
        <v>1.99</v>
      </c>
      <c r="CA18" s="114">
        <f t="shared" si="29"/>
        <v>3.85</v>
      </c>
      <c r="CB18" s="101"/>
      <c r="CC18" s="101"/>
      <c r="CD18" s="94">
        <f t="shared" si="30"/>
        <v>8.7799999999999994</v>
      </c>
      <c r="CE18" s="94"/>
      <c r="CF18" s="102">
        <v>2.5</v>
      </c>
      <c r="CG18" s="103"/>
      <c r="CH18" s="94"/>
      <c r="CI18" s="103"/>
      <c r="CJ18" s="94"/>
      <c r="CK18" s="103"/>
      <c r="CL18" s="94"/>
      <c r="CM18" s="93"/>
      <c r="CN18" s="105"/>
      <c r="CO18" s="106"/>
      <c r="CP18" s="92" t="str">
        <f t="shared" si="31"/>
        <v/>
      </c>
      <c r="CQ18" s="106" t="str">
        <f t="shared" si="32"/>
        <v/>
      </c>
      <c r="CR18" s="94"/>
      <c r="CS18" s="115"/>
      <c r="CT18" s="108"/>
    </row>
    <row r="19" spans="1:98" s="78" customFormat="1" ht="20" customHeight="1">
      <c r="A19" s="79">
        <f>DATE(2025,3,27)</f>
        <v>45743</v>
      </c>
      <c r="B19" s="109">
        <v>8.5340000000000007</v>
      </c>
      <c r="C19" s="81">
        <v>6.7</v>
      </c>
      <c r="D19" s="82"/>
      <c r="E19" s="82">
        <v>152</v>
      </c>
      <c r="F19" s="81">
        <v>4.8899999999999997</v>
      </c>
      <c r="G19" s="83">
        <v>40.9</v>
      </c>
      <c r="H19" s="84">
        <f t="shared" si="0"/>
        <v>8.5340000000000007</v>
      </c>
      <c r="I19" s="81">
        <v>6.69</v>
      </c>
      <c r="J19" s="82">
        <v>3</v>
      </c>
      <c r="K19" s="81">
        <f t="shared" si="1"/>
        <v>2.6</v>
      </c>
      <c r="L19" s="84">
        <v>0.3</v>
      </c>
      <c r="M19" s="84"/>
      <c r="N19" s="84" t="str">
        <f t="shared" si="2"/>
        <v/>
      </c>
      <c r="O19" s="84" t="str">
        <f t="shared" si="3"/>
        <v/>
      </c>
      <c r="P19" s="84" t="str">
        <f t="shared" si="4"/>
        <v/>
      </c>
      <c r="Q19" s="85">
        <v>405.89</v>
      </c>
      <c r="R19" s="84">
        <f t="shared" si="5"/>
        <v>4.8138343924267115</v>
      </c>
      <c r="S19" s="84">
        <v>0.62</v>
      </c>
      <c r="T19" s="84">
        <f t="shared" si="6"/>
        <v>4.1938343924267114</v>
      </c>
      <c r="U19" s="84">
        <v>0.74</v>
      </c>
      <c r="V19" s="84">
        <v>0.51</v>
      </c>
      <c r="W19" s="86">
        <v>0</v>
      </c>
      <c r="X19" s="82">
        <v>98.8</v>
      </c>
      <c r="Y19" s="84">
        <f t="shared" si="7"/>
        <v>1.3881559388064892</v>
      </c>
      <c r="Z19" s="84">
        <v>0.02</v>
      </c>
      <c r="AA19" s="87">
        <v>1</v>
      </c>
      <c r="AB19" s="84">
        <v>0.02</v>
      </c>
      <c r="AC19" s="84">
        <v>0.02</v>
      </c>
      <c r="AD19" s="84">
        <v>0.02</v>
      </c>
      <c r="AE19" s="82"/>
      <c r="AF19" s="82"/>
      <c r="AG19" s="82"/>
      <c r="AH19" s="82"/>
      <c r="AI19" s="85">
        <f t="shared" si="8"/>
        <v>96.903570000000016</v>
      </c>
      <c r="AJ19" s="82">
        <f t="shared" si="9"/>
        <v>83.983094000000008</v>
      </c>
      <c r="AK19" s="86">
        <f t="shared" si="10"/>
        <v>9.6903570000000006</v>
      </c>
      <c r="AL19" s="87"/>
      <c r="AM19" s="84">
        <f t="shared" si="11"/>
        <v>0</v>
      </c>
      <c r="AN19" s="110">
        <f t="shared" si="12"/>
        <v>0</v>
      </c>
      <c r="AO19" s="89"/>
      <c r="AP19" s="89"/>
      <c r="AQ19" s="89"/>
      <c r="AR19" s="89"/>
      <c r="AS19" s="90"/>
      <c r="AT19" s="89"/>
      <c r="AU19" s="89"/>
      <c r="AV19" s="89"/>
      <c r="AW19" s="89"/>
      <c r="AX19" s="111" t="str">
        <f t="shared" si="13"/>
        <v/>
      </c>
      <c r="AY19" s="92" t="str">
        <f t="shared" si="14"/>
        <v/>
      </c>
      <c r="AZ19" s="92">
        <f t="shared" si="15"/>
        <v>152</v>
      </c>
      <c r="BA19" s="93">
        <f t="shared" si="16"/>
        <v>4.8899999999999997</v>
      </c>
      <c r="BB19" s="93">
        <f t="shared" si="17"/>
        <v>40.9</v>
      </c>
      <c r="BC19" s="93">
        <f t="shared" si="18"/>
        <v>6.69</v>
      </c>
      <c r="BD19" s="93">
        <f t="shared" si="19"/>
        <v>3</v>
      </c>
      <c r="BE19" s="93">
        <f t="shared" si="20"/>
        <v>2.6</v>
      </c>
      <c r="BF19" s="93"/>
      <c r="BG19" s="94" t="str">
        <f t="shared" si="21"/>
        <v/>
      </c>
      <c r="BH19" s="94" t="str">
        <f t="shared" si="22"/>
        <v/>
      </c>
      <c r="BI19" s="94">
        <v>10.11</v>
      </c>
      <c r="BJ19" s="103" t="str">
        <f t="shared" si="23"/>
        <v/>
      </c>
      <c r="BK19" s="94">
        <v>0</v>
      </c>
      <c r="BL19" s="103">
        <v>0</v>
      </c>
      <c r="BM19" s="94">
        <v>0</v>
      </c>
      <c r="BN19" s="103">
        <v>0</v>
      </c>
      <c r="BO19" s="112" t="str">
        <f t="shared" si="24"/>
        <v/>
      </c>
      <c r="BP19" s="89"/>
      <c r="BQ19" s="94"/>
      <c r="BR19" s="94"/>
      <c r="BS19" s="98"/>
      <c r="BT19" s="94"/>
      <c r="BU19" s="94"/>
      <c r="BV19" s="89"/>
      <c r="BW19" s="94" t="str">
        <f t="shared" si="25"/>
        <v/>
      </c>
      <c r="BX19" s="113" t="str">
        <f t="shared" si="26"/>
        <v/>
      </c>
      <c r="BY19" s="89">
        <f t="shared" si="27"/>
        <v>0.3</v>
      </c>
      <c r="BZ19" s="94" t="str">
        <f t="shared" si="28"/>
        <v/>
      </c>
      <c r="CA19" s="114" t="str">
        <f t="shared" si="29"/>
        <v/>
      </c>
      <c r="CB19" s="101"/>
      <c r="CC19" s="101"/>
      <c r="CD19" s="94">
        <f t="shared" si="30"/>
        <v>8.5340000000000007</v>
      </c>
      <c r="CE19" s="94"/>
      <c r="CF19" s="102">
        <v>2.6</v>
      </c>
      <c r="CG19" s="103"/>
      <c r="CH19" s="94"/>
      <c r="CI19" s="103"/>
      <c r="CJ19" s="94"/>
      <c r="CK19" s="103"/>
      <c r="CL19" s="94"/>
      <c r="CM19" s="93"/>
      <c r="CN19" s="105"/>
      <c r="CO19" s="106"/>
      <c r="CP19" s="92" t="str">
        <f t="shared" si="31"/>
        <v/>
      </c>
      <c r="CQ19" s="106" t="str">
        <f t="shared" si="32"/>
        <v/>
      </c>
      <c r="CR19" s="94"/>
      <c r="CS19" s="115"/>
      <c r="CT19" s="108"/>
    </row>
    <row r="20" spans="1:98" ht="20" customHeight="1">
      <c r="A20" s="79">
        <f>DATE(2025,3,28)</f>
        <v>45744</v>
      </c>
      <c r="B20" s="109">
        <v>8.3930000000000007</v>
      </c>
      <c r="C20" s="81">
        <v>6.7</v>
      </c>
      <c r="D20" s="82"/>
      <c r="E20" s="82"/>
      <c r="F20" s="81"/>
      <c r="G20" s="83"/>
      <c r="H20" s="84">
        <f t="shared" si="0"/>
        <v>8.3930000000000007</v>
      </c>
      <c r="I20" s="81">
        <v>6.59</v>
      </c>
      <c r="J20" s="82"/>
      <c r="K20" s="81" t="str">
        <f t="shared" si="1"/>
        <v/>
      </c>
      <c r="L20" s="84"/>
      <c r="M20" s="84"/>
      <c r="N20" s="84" t="str">
        <f t="shared" si="2"/>
        <v/>
      </c>
      <c r="O20" s="84" t="str">
        <f t="shared" si="3"/>
        <v/>
      </c>
      <c r="P20" s="84" t="str">
        <f t="shared" si="4"/>
        <v/>
      </c>
      <c r="Q20" s="85">
        <v>481.7</v>
      </c>
      <c r="R20" s="84">
        <f t="shared" si="5"/>
        <v>5.7873540846681371</v>
      </c>
      <c r="S20" s="84">
        <v>0.65</v>
      </c>
      <c r="T20" s="84">
        <f t="shared" si="6"/>
        <v>5.1373540846681367</v>
      </c>
      <c r="U20" s="84">
        <v>0.76</v>
      </c>
      <c r="V20" s="84">
        <v>0.5</v>
      </c>
      <c r="W20" s="86">
        <v>0</v>
      </c>
      <c r="X20" s="82">
        <v>101.4</v>
      </c>
      <c r="Y20" s="84">
        <f t="shared" si="7"/>
        <v>1.4486206816746057</v>
      </c>
      <c r="Z20" s="84">
        <v>0.01</v>
      </c>
      <c r="AA20" s="87">
        <v>1</v>
      </c>
      <c r="AB20" s="84">
        <v>0.01</v>
      </c>
      <c r="AC20" s="84">
        <v>0.01</v>
      </c>
      <c r="AD20" s="84">
        <v>0.01</v>
      </c>
      <c r="AE20" s="82"/>
      <c r="AF20" s="82"/>
      <c r="AG20" s="82"/>
      <c r="AH20" s="82"/>
      <c r="AI20" s="85" t="str">
        <f t="shared" si="8"/>
        <v/>
      </c>
      <c r="AJ20" s="82" t="str">
        <f t="shared" si="9"/>
        <v/>
      </c>
      <c r="AK20" s="86" t="str">
        <f t="shared" si="10"/>
        <v/>
      </c>
      <c r="AL20" s="87"/>
      <c r="AM20" s="84">
        <f t="shared" si="11"/>
        <v>0</v>
      </c>
      <c r="AN20" s="110">
        <f t="shared" si="12"/>
        <v>0</v>
      </c>
      <c r="AO20" s="89"/>
      <c r="AP20" s="89"/>
      <c r="AQ20" s="89"/>
      <c r="AR20" s="89"/>
      <c r="AS20" s="90"/>
      <c r="AT20" s="89"/>
      <c r="AU20" s="89"/>
      <c r="AV20" s="89"/>
      <c r="AW20" s="89"/>
      <c r="AX20" s="111" t="str">
        <f t="shared" si="13"/>
        <v/>
      </c>
      <c r="AY20" s="92" t="str">
        <f t="shared" si="14"/>
        <v/>
      </c>
      <c r="AZ20" s="92" t="str">
        <f t="shared" si="15"/>
        <v/>
      </c>
      <c r="BA20" s="93" t="str">
        <f t="shared" si="16"/>
        <v/>
      </c>
      <c r="BB20" s="93" t="str">
        <f t="shared" si="17"/>
        <v/>
      </c>
      <c r="BC20" s="93">
        <f t="shared" si="18"/>
        <v>6.59</v>
      </c>
      <c r="BD20" s="93" t="str">
        <f t="shared" si="19"/>
        <v/>
      </c>
      <c r="BE20" s="93" t="str">
        <f t="shared" si="20"/>
        <v/>
      </c>
      <c r="BF20" s="93"/>
      <c r="BG20" s="94" t="str">
        <f t="shared" si="21"/>
        <v/>
      </c>
      <c r="BH20" s="94" t="str">
        <f t="shared" si="22"/>
        <v/>
      </c>
      <c r="BI20" s="94">
        <v>9.98</v>
      </c>
      <c r="BJ20" s="103" t="str">
        <f t="shared" si="23"/>
        <v/>
      </c>
      <c r="BK20" s="94">
        <v>0</v>
      </c>
      <c r="BL20" s="103">
        <v>0</v>
      </c>
      <c r="BM20" s="94">
        <v>0</v>
      </c>
      <c r="BN20" s="103">
        <v>0</v>
      </c>
      <c r="BO20" s="112" t="str">
        <f t="shared" si="24"/>
        <v/>
      </c>
      <c r="BP20" s="89"/>
      <c r="BQ20" s="94"/>
      <c r="BR20" s="94"/>
      <c r="BS20" s="98"/>
      <c r="BT20" s="94"/>
      <c r="BU20" s="94"/>
      <c r="BV20" s="89"/>
      <c r="BW20" s="94" t="str">
        <f t="shared" si="25"/>
        <v/>
      </c>
      <c r="BX20" s="113" t="str">
        <f t="shared" si="26"/>
        <v/>
      </c>
      <c r="BY20" s="89" t="str">
        <f t="shared" si="27"/>
        <v/>
      </c>
      <c r="BZ20" s="94" t="str">
        <f t="shared" si="28"/>
        <v/>
      </c>
      <c r="CA20" s="114" t="str">
        <f t="shared" si="29"/>
        <v/>
      </c>
      <c r="CB20" s="101"/>
      <c r="CC20" s="101"/>
      <c r="CD20" s="94">
        <f t="shared" si="30"/>
        <v>8.3930000000000007</v>
      </c>
      <c r="CE20" s="94"/>
      <c r="CF20" s="102"/>
      <c r="CG20" s="103"/>
      <c r="CH20" s="94"/>
      <c r="CI20" s="103"/>
      <c r="CJ20" s="94"/>
      <c r="CK20" s="103"/>
      <c r="CL20" s="94"/>
      <c r="CM20" s="93"/>
      <c r="CN20" s="105"/>
      <c r="CO20" s="106"/>
      <c r="CP20" s="92" t="str">
        <f t="shared" si="31"/>
        <v/>
      </c>
      <c r="CQ20" s="106" t="str">
        <f t="shared" si="32"/>
        <v/>
      </c>
      <c r="CR20" s="94"/>
      <c r="CS20" s="115"/>
      <c r="CT20" s="108"/>
    </row>
    <row r="21" spans="1:98" ht="20" customHeight="1">
      <c r="A21" s="79">
        <f>DATE(2025,3,29)</f>
        <v>45745</v>
      </c>
      <c r="B21" s="109">
        <v>8.3520000000000003</v>
      </c>
      <c r="C21" s="81">
        <v>6.6</v>
      </c>
      <c r="D21" s="82"/>
      <c r="E21" s="82"/>
      <c r="F21" s="81"/>
      <c r="G21" s="83"/>
      <c r="H21" s="84">
        <f t="shared" si="0"/>
        <v>8.3520000000000003</v>
      </c>
      <c r="I21" s="81">
        <v>6.73</v>
      </c>
      <c r="J21" s="82"/>
      <c r="K21" s="81" t="str">
        <f t="shared" si="1"/>
        <v/>
      </c>
      <c r="L21" s="84"/>
      <c r="M21" s="84"/>
      <c r="N21" s="84" t="str">
        <f t="shared" si="2"/>
        <v/>
      </c>
      <c r="O21" s="84" t="str">
        <f t="shared" si="3"/>
        <v/>
      </c>
      <c r="P21" s="84" t="str">
        <f t="shared" si="4"/>
        <v/>
      </c>
      <c r="Q21" s="85">
        <v>541.55999999999995</v>
      </c>
      <c r="R21" s="84">
        <f t="shared" si="5"/>
        <v>6.5196035942330468</v>
      </c>
      <c r="S21" s="84">
        <v>0.65</v>
      </c>
      <c r="T21" s="84">
        <f t="shared" si="6"/>
        <v>5.8696035942330465</v>
      </c>
      <c r="U21" s="84">
        <v>0.76</v>
      </c>
      <c r="V21" s="84">
        <v>0.47</v>
      </c>
      <c r="W21" s="86">
        <v>1</v>
      </c>
      <c r="X21" s="82">
        <v>101.4</v>
      </c>
      <c r="Y21" s="84">
        <f t="shared" si="7"/>
        <v>1.4557319661512169</v>
      </c>
      <c r="Z21" s="84">
        <v>0.02</v>
      </c>
      <c r="AA21" s="87">
        <v>1</v>
      </c>
      <c r="AB21" s="84">
        <v>0.02</v>
      </c>
      <c r="AC21" s="84">
        <v>0.02</v>
      </c>
      <c r="AD21" s="84">
        <v>0.02</v>
      </c>
      <c r="AE21" s="82"/>
      <c r="AF21" s="82"/>
      <c r="AG21" s="82"/>
      <c r="AH21" s="82"/>
      <c r="AI21" s="85" t="str">
        <f t="shared" si="8"/>
        <v/>
      </c>
      <c r="AJ21" s="82" t="str">
        <f t="shared" si="9"/>
        <v/>
      </c>
      <c r="AK21" s="86" t="str">
        <f t="shared" si="10"/>
        <v/>
      </c>
      <c r="AL21" s="87"/>
      <c r="AM21" s="84">
        <f t="shared" si="11"/>
        <v>0</v>
      </c>
      <c r="AN21" s="110">
        <f t="shared" si="12"/>
        <v>0</v>
      </c>
      <c r="AO21" s="89"/>
      <c r="AP21" s="89"/>
      <c r="AQ21" s="89"/>
      <c r="AR21" s="89"/>
      <c r="AS21" s="90"/>
      <c r="AT21" s="89"/>
      <c r="AU21" s="89"/>
      <c r="AV21" s="89"/>
      <c r="AW21" s="89"/>
      <c r="AX21" s="111" t="str">
        <f t="shared" si="13"/>
        <v/>
      </c>
      <c r="AY21" s="92" t="str">
        <f t="shared" si="14"/>
        <v/>
      </c>
      <c r="AZ21" s="92" t="str">
        <f t="shared" si="15"/>
        <v/>
      </c>
      <c r="BA21" s="93" t="str">
        <f t="shared" si="16"/>
        <v/>
      </c>
      <c r="BB21" s="93" t="str">
        <f t="shared" si="17"/>
        <v/>
      </c>
      <c r="BC21" s="93">
        <f t="shared" si="18"/>
        <v>6.73</v>
      </c>
      <c r="BD21" s="93" t="str">
        <f t="shared" si="19"/>
        <v/>
      </c>
      <c r="BE21" s="93" t="str">
        <f t="shared" si="20"/>
        <v/>
      </c>
      <c r="BF21" s="93"/>
      <c r="BG21" s="94" t="str">
        <f t="shared" si="21"/>
        <v/>
      </c>
      <c r="BH21" s="94" t="str">
        <f t="shared" si="22"/>
        <v/>
      </c>
      <c r="BI21" s="94">
        <v>9.9600000000000009</v>
      </c>
      <c r="BJ21" s="103" t="str">
        <f t="shared" si="23"/>
        <v/>
      </c>
      <c r="BK21" s="94">
        <v>0</v>
      </c>
      <c r="BL21" s="103">
        <v>0</v>
      </c>
      <c r="BM21" s="94">
        <v>0</v>
      </c>
      <c r="BN21" s="103">
        <v>0</v>
      </c>
      <c r="BO21" s="112" t="str">
        <f t="shared" si="24"/>
        <v/>
      </c>
      <c r="BP21" s="89"/>
      <c r="BQ21" s="94"/>
      <c r="BR21" s="94"/>
      <c r="BS21" s="98"/>
      <c r="BT21" s="94"/>
      <c r="BU21" s="94"/>
      <c r="BV21" s="89"/>
      <c r="BW21" s="94" t="str">
        <f t="shared" si="25"/>
        <v/>
      </c>
      <c r="BX21" s="113" t="str">
        <f t="shared" si="26"/>
        <v/>
      </c>
      <c r="BY21" s="89" t="str">
        <f t="shared" si="27"/>
        <v/>
      </c>
      <c r="BZ21" s="94" t="str">
        <f t="shared" si="28"/>
        <v/>
      </c>
      <c r="CA21" s="114" t="str">
        <f t="shared" si="29"/>
        <v/>
      </c>
      <c r="CB21" s="101"/>
      <c r="CC21" s="101"/>
      <c r="CD21" s="94">
        <f t="shared" si="30"/>
        <v>8.3520000000000003</v>
      </c>
      <c r="CE21" s="94"/>
      <c r="CF21" s="102"/>
      <c r="CG21" s="103"/>
      <c r="CH21" s="94"/>
      <c r="CI21" s="103"/>
      <c r="CJ21" s="94"/>
      <c r="CK21" s="103"/>
      <c r="CL21" s="94"/>
      <c r="CM21" s="93"/>
      <c r="CN21" s="105"/>
      <c r="CO21" s="106"/>
      <c r="CP21" s="92" t="str">
        <f t="shared" si="31"/>
        <v/>
      </c>
      <c r="CQ21" s="106" t="str">
        <f t="shared" si="32"/>
        <v/>
      </c>
      <c r="CR21" s="94"/>
      <c r="CS21" s="115"/>
      <c r="CT21" s="108"/>
    </row>
    <row r="22" spans="1:98" ht="20" customHeight="1">
      <c r="A22" s="79">
        <f>DATE(2025,3,30)</f>
        <v>45746</v>
      </c>
      <c r="B22" s="109">
        <v>8.6910000000000007</v>
      </c>
      <c r="C22" s="81">
        <v>6.6</v>
      </c>
      <c r="D22" s="82">
        <v>177</v>
      </c>
      <c r="E22" s="82">
        <v>134</v>
      </c>
      <c r="F22" s="81">
        <v>5.01</v>
      </c>
      <c r="G22" s="83">
        <v>40.9</v>
      </c>
      <c r="H22" s="84">
        <f t="shared" si="0"/>
        <v>8.6910000000000007</v>
      </c>
      <c r="I22" s="81">
        <v>6.81</v>
      </c>
      <c r="J22" s="82">
        <v>2</v>
      </c>
      <c r="K22" s="81">
        <f t="shared" si="1"/>
        <v>2.5</v>
      </c>
      <c r="L22" s="84">
        <v>0.78</v>
      </c>
      <c r="M22" s="84">
        <v>0.61</v>
      </c>
      <c r="N22" s="84">
        <f t="shared" si="2"/>
        <v>2.06</v>
      </c>
      <c r="O22" s="84">
        <f t="shared" si="3"/>
        <v>2.69</v>
      </c>
      <c r="P22" s="84">
        <f t="shared" si="4"/>
        <v>4.75</v>
      </c>
      <c r="Q22" s="85">
        <v>461.93</v>
      </c>
      <c r="R22" s="84">
        <f t="shared" si="5"/>
        <v>5.3774068124141463</v>
      </c>
      <c r="S22" s="84">
        <v>0.65</v>
      </c>
      <c r="T22" s="84">
        <f t="shared" si="6"/>
        <v>4.727406812414146</v>
      </c>
      <c r="U22" s="84">
        <v>0.9</v>
      </c>
      <c r="V22" s="84">
        <v>0.46</v>
      </c>
      <c r="W22" s="86">
        <v>1</v>
      </c>
      <c r="X22" s="82">
        <v>106.6</v>
      </c>
      <c r="Y22" s="84">
        <f t="shared" si="7"/>
        <v>1.470690896368166</v>
      </c>
      <c r="Z22" s="84">
        <v>0.01</v>
      </c>
      <c r="AA22" s="87">
        <v>1</v>
      </c>
      <c r="AB22" s="84">
        <v>0.01</v>
      </c>
      <c r="AC22" s="84">
        <v>0.01</v>
      </c>
      <c r="AD22" s="84">
        <v>0.01</v>
      </c>
      <c r="AE22" s="82"/>
      <c r="AF22" s="82"/>
      <c r="AG22" s="82"/>
      <c r="AH22" s="82"/>
      <c r="AI22" s="85">
        <f t="shared" si="8"/>
        <v>65.790870000000012</v>
      </c>
      <c r="AJ22" s="82">
        <f t="shared" si="9"/>
        <v>82.238587500000008</v>
      </c>
      <c r="AK22" s="86">
        <f t="shared" si="10"/>
        <v>25.658439300000005</v>
      </c>
      <c r="AL22" s="87"/>
      <c r="AM22" s="84">
        <f t="shared" si="11"/>
        <v>0</v>
      </c>
      <c r="AN22" s="110">
        <f t="shared" si="12"/>
        <v>0</v>
      </c>
      <c r="AO22" s="89"/>
      <c r="AP22" s="89"/>
      <c r="AQ22" s="89"/>
      <c r="AR22" s="89"/>
      <c r="AS22" s="90"/>
      <c r="AT22" s="89"/>
      <c r="AU22" s="89"/>
      <c r="AV22" s="89"/>
      <c r="AW22" s="89"/>
      <c r="AX22" s="111" t="str">
        <f t="shared" si="13"/>
        <v/>
      </c>
      <c r="AY22" s="92">
        <f t="shared" si="14"/>
        <v>177</v>
      </c>
      <c r="AZ22" s="92">
        <f t="shared" si="15"/>
        <v>134</v>
      </c>
      <c r="BA22" s="93">
        <f t="shared" si="16"/>
        <v>5.01</v>
      </c>
      <c r="BB22" s="93">
        <f t="shared" si="17"/>
        <v>40.9</v>
      </c>
      <c r="BC22" s="93">
        <f t="shared" si="18"/>
        <v>6.81</v>
      </c>
      <c r="BD22" s="93">
        <f t="shared" si="19"/>
        <v>2</v>
      </c>
      <c r="BE22" s="93">
        <f t="shared" si="20"/>
        <v>2.5</v>
      </c>
      <c r="BF22" s="93"/>
      <c r="BG22" s="94">
        <f t="shared" si="21"/>
        <v>2.06</v>
      </c>
      <c r="BH22" s="94">
        <f t="shared" si="22"/>
        <v>2.69</v>
      </c>
      <c r="BI22" s="94">
        <v>10.3</v>
      </c>
      <c r="BJ22" s="103" t="str">
        <f t="shared" si="23"/>
        <v/>
      </c>
      <c r="BK22" s="94">
        <v>0</v>
      </c>
      <c r="BL22" s="103">
        <v>0</v>
      </c>
      <c r="BM22" s="94">
        <v>0</v>
      </c>
      <c r="BN22" s="103">
        <v>0</v>
      </c>
      <c r="BO22" s="112" t="str">
        <f t="shared" si="24"/>
        <v/>
      </c>
      <c r="BP22" s="89"/>
      <c r="BQ22" s="94">
        <v>2.06</v>
      </c>
      <c r="BR22" s="94">
        <v>2.69</v>
      </c>
      <c r="BS22" s="98"/>
      <c r="BT22" s="94"/>
      <c r="BU22" s="94"/>
      <c r="BV22" s="89"/>
      <c r="BW22" s="94" t="str">
        <f t="shared" si="25"/>
        <v/>
      </c>
      <c r="BX22" s="113" t="str">
        <f t="shared" si="26"/>
        <v/>
      </c>
      <c r="BY22" s="89">
        <f t="shared" si="27"/>
        <v>0.78</v>
      </c>
      <c r="BZ22" s="94">
        <f t="shared" si="28"/>
        <v>2.06</v>
      </c>
      <c r="CA22" s="114">
        <f t="shared" si="29"/>
        <v>2.69</v>
      </c>
      <c r="CB22" s="101"/>
      <c r="CC22" s="101"/>
      <c r="CD22" s="94">
        <f t="shared" si="30"/>
        <v>8.6910000000000007</v>
      </c>
      <c r="CE22" s="94"/>
      <c r="CF22" s="102">
        <v>2.5</v>
      </c>
      <c r="CG22" s="103"/>
      <c r="CH22" s="94"/>
      <c r="CI22" s="103"/>
      <c r="CJ22" s="94"/>
      <c r="CK22" s="103"/>
      <c r="CL22" s="94"/>
      <c r="CM22" s="93"/>
      <c r="CN22" s="105"/>
      <c r="CO22" s="106"/>
      <c r="CP22" s="92" t="str">
        <f t="shared" si="31"/>
        <v/>
      </c>
      <c r="CQ22" s="106" t="str">
        <f t="shared" si="32"/>
        <v/>
      </c>
      <c r="CR22" s="94"/>
      <c r="CS22" s="115"/>
      <c r="CT22" s="108"/>
    </row>
    <row r="23" spans="1:98" ht="20" customHeight="1">
      <c r="A23" s="79">
        <f>DATE(2025,3,31)</f>
        <v>45747</v>
      </c>
      <c r="B23" s="109">
        <v>9.391</v>
      </c>
      <c r="C23" s="81">
        <v>6.4</v>
      </c>
      <c r="D23" s="82"/>
      <c r="E23" s="82">
        <v>256</v>
      </c>
      <c r="F23" s="81"/>
      <c r="G23" s="83"/>
      <c r="H23" s="84">
        <f t="shared" si="0"/>
        <v>9.391</v>
      </c>
      <c r="I23" s="81">
        <v>6.66</v>
      </c>
      <c r="J23" s="82">
        <v>2</v>
      </c>
      <c r="K23" s="81">
        <f t="shared" si="1"/>
        <v>2.7</v>
      </c>
      <c r="L23" s="84">
        <v>0.46</v>
      </c>
      <c r="M23" s="84">
        <v>0.31</v>
      </c>
      <c r="N23" s="84">
        <f t="shared" si="2"/>
        <v>1.73</v>
      </c>
      <c r="O23" s="84">
        <f t="shared" si="3"/>
        <v>1.92</v>
      </c>
      <c r="P23" s="84">
        <f t="shared" si="4"/>
        <v>3.65</v>
      </c>
      <c r="Q23" s="85">
        <v>446.01</v>
      </c>
      <c r="R23" s="84">
        <f t="shared" si="5"/>
        <v>4.8705298056636659</v>
      </c>
      <c r="S23" s="84">
        <v>0.71</v>
      </c>
      <c r="T23" s="84">
        <f t="shared" si="6"/>
        <v>4.1605298056636659</v>
      </c>
      <c r="U23" s="84">
        <v>0.92</v>
      </c>
      <c r="V23" s="84">
        <v>0.42</v>
      </c>
      <c r="W23" s="86">
        <v>2</v>
      </c>
      <c r="X23" s="82">
        <v>106.6</v>
      </c>
      <c r="Y23" s="84">
        <f t="shared" si="7"/>
        <v>1.3610664019098853</v>
      </c>
      <c r="Z23" s="84">
        <v>0.03</v>
      </c>
      <c r="AA23" s="87">
        <v>1</v>
      </c>
      <c r="AB23" s="84">
        <v>0.03</v>
      </c>
      <c r="AC23" s="84">
        <v>0.03</v>
      </c>
      <c r="AD23" s="84">
        <v>0.03</v>
      </c>
      <c r="AE23" s="82"/>
      <c r="AF23" s="82"/>
      <c r="AG23" s="82"/>
      <c r="AH23" s="82"/>
      <c r="AI23" s="85">
        <f t="shared" si="8"/>
        <v>71.089870000000005</v>
      </c>
      <c r="AJ23" s="82">
        <f t="shared" si="9"/>
        <v>95.971324500000009</v>
      </c>
      <c r="AK23" s="86">
        <f t="shared" si="10"/>
        <v>16.350670100000002</v>
      </c>
      <c r="AL23" s="87"/>
      <c r="AM23" s="84">
        <f t="shared" si="11"/>
        <v>0</v>
      </c>
      <c r="AN23" s="110">
        <f t="shared" si="12"/>
        <v>0</v>
      </c>
      <c r="AO23" s="89"/>
      <c r="AP23" s="89"/>
      <c r="AQ23" s="89"/>
      <c r="AR23" s="89"/>
      <c r="AS23" s="90"/>
      <c r="AT23" s="89"/>
      <c r="AU23" s="89"/>
      <c r="AV23" s="89"/>
      <c r="AW23" s="89"/>
      <c r="AX23" s="111" t="str">
        <f t="shared" si="13"/>
        <v/>
      </c>
      <c r="AY23" s="92" t="str">
        <f t="shared" si="14"/>
        <v/>
      </c>
      <c r="AZ23" s="92">
        <f t="shared" si="15"/>
        <v>256</v>
      </c>
      <c r="BA23" s="93" t="str">
        <f t="shared" si="16"/>
        <v/>
      </c>
      <c r="BB23" s="93" t="str">
        <f t="shared" si="17"/>
        <v/>
      </c>
      <c r="BC23" s="93">
        <f t="shared" si="18"/>
        <v>6.66</v>
      </c>
      <c r="BD23" s="93">
        <f t="shared" si="19"/>
        <v>2</v>
      </c>
      <c r="BE23" s="93">
        <f t="shared" si="20"/>
        <v>2.7</v>
      </c>
      <c r="BF23" s="93"/>
      <c r="BG23" s="94">
        <f t="shared" si="21"/>
        <v>1.73</v>
      </c>
      <c r="BH23" s="94">
        <f t="shared" si="22"/>
        <v>1.92</v>
      </c>
      <c r="BI23" s="94">
        <v>10.98</v>
      </c>
      <c r="BJ23" s="103" t="str">
        <f t="shared" si="23"/>
        <v/>
      </c>
      <c r="BK23" s="94">
        <v>0</v>
      </c>
      <c r="BL23" s="103">
        <v>0</v>
      </c>
      <c r="BM23" s="94">
        <v>0</v>
      </c>
      <c r="BN23" s="103">
        <v>0</v>
      </c>
      <c r="BO23" s="112" t="str">
        <f t="shared" si="24"/>
        <v/>
      </c>
      <c r="BP23" s="89"/>
      <c r="BQ23" s="94">
        <v>1.73</v>
      </c>
      <c r="BR23" s="94">
        <v>1.92</v>
      </c>
      <c r="BS23" s="98"/>
      <c r="BT23" s="94"/>
      <c r="BU23" s="94"/>
      <c r="BV23" s="89"/>
      <c r="BW23" s="94" t="str">
        <f t="shared" si="25"/>
        <v/>
      </c>
      <c r="BX23" s="113" t="str">
        <f t="shared" si="26"/>
        <v/>
      </c>
      <c r="BY23" s="89">
        <f t="shared" si="27"/>
        <v>0.46</v>
      </c>
      <c r="BZ23" s="94">
        <f t="shared" si="28"/>
        <v>1.73</v>
      </c>
      <c r="CA23" s="114">
        <f t="shared" si="29"/>
        <v>1.92</v>
      </c>
      <c r="CB23" s="101"/>
      <c r="CC23" s="101"/>
      <c r="CD23" s="94">
        <f t="shared" si="30"/>
        <v>9.391</v>
      </c>
      <c r="CE23" s="94"/>
      <c r="CF23" s="102">
        <v>2.7</v>
      </c>
      <c r="CG23" s="103"/>
      <c r="CH23" s="94"/>
      <c r="CI23" s="103"/>
      <c r="CJ23" s="94"/>
      <c r="CK23" s="103"/>
      <c r="CL23" s="94"/>
      <c r="CM23" s="93"/>
      <c r="CN23" s="105"/>
      <c r="CO23" s="106"/>
      <c r="CP23" s="92" t="str">
        <f t="shared" si="31"/>
        <v/>
      </c>
      <c r="CQ23" s="106" t="str">
        <f t="shared" si="32"/>
        <v/>
      </c>
      <c r="CR23" s="94"/>
      <c r="CS23" s="115"/>
      <c r="CT23" s="108"/>
    </row>
    <row r="24" spans="1:98" ht="20" customHeight="1">
      <c r="A24" s="79">
        <f>DATE(2025,4,1)</f>
        <v>45748</v>
      </c>
      <c r="B24" s="109">
        <v>8.8919999999999995</v>
      </c>
      <c r="C24" s="81">
        <v>6.6</v>
      </c>
      <c r="D24" s="82"/>
      <c r="E24" s="82">
        <v>106</v>
      </c>
      <c r="F24" s="81">
        <v>4.66</v>
      </c>
      <c r="G24" s="83">
        <v>41.6</v>
      </c>
      <c r="H24" s="84">
        <f t="shared" si="0"/>
        <v>8.8919999999999995</v>
      </c>
      <c r="I24" s="81">
        <v>6.88</v>
      </c>
      <c r="J24" s="82">
        <v>3</v>
      </c>
      <c r="K24" s="81">
        <f t="shared" si="1"/>
        <v>2.2000000000000002</v>
      </c>
      <c r="L24" s="84">
        <v>0.26</v>
      </c>
      <c r="M24" s="84">
        <v>0.14000000000000001</v>
      </c>
      <c r="N24" s="84">
        <f t="shared" si="2"/>
        <v>1.76</v>
      </c>
      <c r="O24" s="84">
        <f t="shared" si="3"/>
        <v>2.4900000000000002</v>
      </c>
      <c r="P24" s="84">
        <f t="shared" si="4"/>
        <v>4.25</v>
      </c>
      <c r="Q24" s="85">
        <v>519.67999999999995</v>
      </c>
      <c r="R24" s="84">
        <f t="shared" si="5"/>
        <v>5.95714632882604</v>
      </c>
      <c r="S24" s="84">
        <v>0.66</v>
      </c>
      <c r="T24" s="84">
        <f t="shared" si="6"/>
        <v>5.2971463288260399</v>
      </c>
      <c r="U24" s="84">
        <v>0.94</v>
      </c>
      <c r="V24" s="84">
        <v>0.46</v>
      </c>
      <c r="W24" s="86">
        <v>2</v>
      </c>
      <c r="X24" s="82">
        <v>109.2</v>
      </c>
      <c r="Y24" s="84">
        <f t="shared" si="7"/>
        <v>1.4725062055618665</v>
      </c>
      <c r="Z24" s="84">
        <v>0.01</v>
      </c>
      <c r="AA24" s="87">
        <v>1</v>
      </c>
      <c r="AB24" s="84">
        <v>0.01</v>
      </c>
      <c r="AC24" s="84">
        <v>0.01</v>
      </c>
      <c r="AD24" s="84">
        <v>0.01</v>
      </c>
      <c r="AE24" s="82">
        <v>1</v>
      </c>
      <c r="AF24" s="82"/>
      <c r="AG24" s="82" t="s">
        <v>103</v>
      </c>
      <c r="AH24" s="82"/>
      <c r="AI24" s="85">
        <f t="shared" si="8"/>
        <v>100.96866</v>
      </c>
      <c r="AJ24" s="82">
        <f t="shared" si="9"/>
        <v>74.043683999999999</v>
      </c>
      <c r="AK24" s="86">
        <f t="shared" si="10"/>
        <v>8.7506171999999989</v>
      </c>
      <c r="AL24" s="87"/>
      <c r="AM24" s="84">
        <f t="shared" si="11"/>
        <v>0</v>
      </c>
      <c r="AN24" s="110">
        <f t="shared" si="12"/>
        <v>0</v>
      </c>
      <c r="AO24" s="89"/>
      <c r="AP24" s="89"/>
      <c r="AQ24" s="89"/>
      <c r="AR24" s="89"/>
      <c r="AS24" s="90"/>
      <c r="AT24" s="89"/>
      <c r="AU24" s="89"/>
      <c r="AV24" s="89"/>
      <c r="AW24" s="89"/>
      <c r="AX24" s="111">
        <f t="shared" si="13"/>
        <v>1</v>
      </c>
      <c r="AY24" s="92" t="str">
        <f t="shared" si="14"/>
        <v/>
      </c>
      <c r="AZ24" s="92">
        <f t="shared" si="15"/>
        <v>106</v>
      </c>
      <c r="BA24" s="93">
        <f t="shared" si="16"/>
        <v>4.66</v>
      </c>
      <c r="BB24" s="93">
        <f t="shared" si="17"/>
        <v>41.6</v>
      </c>
      <c r="BC24" s="93">
        <f t="shared" si="18"/>
        <v>6.88</v>
      </c>
      <c r="BD24" s="93">
        <f t="shared" si="19"/>
        <v>3</v>
      </c>
      <c r="BE24" s="93">
        <f t="shared" si="20"/>
        <v>2.2000000000000002</v>
      </c>
      <c r="BF24" s="93"/>
      <c r="BG24" s="94">
        <f t="shared" si="21"/>
        <v>1.76</v>
      </c>
      <c r="BH24" s="94">
        <f t="shared" si="22"/>
        <v>2.4900000000000002</v>
      </c>
      <c r="BI24" s="94">
        <v>10.46</v>
      </c>
      <c r="BJ24" s="103" t="str">
        <f t="shared" si="23"/>
        <v/>
      </c>
      <c r="BK24" s="94">
        <v>0</v>
      </c>
      <c r="BL24" s="103">
        <v>0</v>
      </c>
      <c r="BM24" s="94">
        <v>0</v>
      </c>
      <c r="BN24" s="103">
        <v>0</v>
      </c>
      <c r="BO24" s="112" t="str">
        <f t="shared" si="24"/>
        <v/>
      </c>
      <c r="BP24" s="89"/>
      <c r="BQ24" s="94">
        <v>1.76</v>
      </c>
      <c r="BR24" s="94">
        <v>2.4900000000000002</v>
      </c>
      <c r="BS24" s="98"/>
      <c r="BT24" s="94"/>
      <c r="BU24" s="94"/>
      <c r="BV24" s="89"/>
      <c r="BW24" s="94" t="str">
        <f t="shared" si="25"/>
        <v/>
      </c>
      <c r="BX24" s="113" t="str">
        <f t="shared" si="26"/>
        <v/>
      </c>
      <c r="BY24" s="89">
        <f t="shared" si="27"/>
        <v>0.26</v>
      </c>
      <c r="BZ24" s="94">
        <f t="shared" si="28"/>
        <v>1.76</v>
      </c>
      <c r="CA24" s="114">
        <f t="shared" si="29"/>
        <v>2.4900000000000002</v>
      </c>
      <c r="CB24" s="101"/>
      <c r="CC24" s="101"/>
      <c r="CD24" s="94">
        <f t="shared" si="30"/>
        <v>8.8919999999999995</v>
      </c>
      <c r="CE24" s="94"/>
      <c r="CF24" s="102">
        <v>2.2000000000000002</v>
      </c>
      <c r="CG24" s="103"/>
      <c r="CH24" s="94"/>
      <c r="CI24" s="103"/>
      <c r="CJ24" s="94"/>
      <c r="CK24" s="103"/>
      <c r="CL24" s="94"/>
      <c r="CM24" s="93"/>
      <c r="CN24" s="105"/>
      <c r="CO24" s="106"/>
      <c r="CP24" s="92">
        <f t="shared" si="31"/>
        <v>1</v>
      </c>
      <c r="CQ24" s="106" t="str">
        <f t="shared" si="32"/>
        <v/>
      </c>
      <c r="CR24" s="94"/>
      <c r="CS24" s="115"/>
      <c r="CT24" s="108"/>
    </row>
    <row r="25" spans="1:98" ht="20" customHeight="1">
      <c r="A25" s="79">
        <f>DATE(2025,4,2)</f>
        <v>45749</v>
      </c>
      <c r="B25" s="109">
        <v>8.2919999999999998</v>
      </c>
      <c r="C25" s="81">
        <v>6.6</v>
      </c>
      <c r="D25" s="82"/>
      <c r="E25" s="82">
        <v>110</v>
      </c>
      <c r="F25" s="81"/>
      <c r="G25" s="83"/>
      <c r="H25" s="84">
        <f t="shared" si="0"/>
        <v>8.2919999999999998</v>
      </c>
      <c r="I25" s="81">
        <v>6.79</v>
      </c>
      <c r="J25" s="82">
        <v>2</v>
      </c>
      <c r="K25" s="81">
        <f t="shared" si="1"/>
        <v>1.9</v>
      </c>
      <c r="L25" s="84">
        <v>0.24</v>
      </c>
      <c r="M25" s="84">
        <v>0.08</v>
      </c>
      <c r="N25" s="84">
        <f t="shared" si="2"/>
        <v>1.73</v>
      </c>
      <c r="O25" s="84">
        <f t="shared" si="3"/>
        <v>2.63</v>
      </c>
      <c r="P25" s="84">
        <f t="shared" si="4"/>
        <v>4.3599999999999994</v>
      </c>
      <c r="Q25" s="85">
        <v>472.05</v>
      </c>
      <c r="R25" s="84">
        <f t="shared" si="5"/>
        <v>5.7404380755030866</v>
      </c>
      <c r="S25" s="84">
        <v>0.68</v>
      </c>
      <c r="T25" s="84">
        <f t="shared" si="6"/>
        <v>5.0604380755030869</v>
      </c>
      <c r="U25" s="84">
        <v>1.02</v>
      </c>
      <c r="V25" s="84">
        <v>0.43</v>
      </c>
      <c r="W25" s="86">
        <v>2</v>
      </c>
      <c r="X25" s="82">
        <v>101.4</v>
      </c>
      <c r="Y25" s="84">
        <f t="shared" si="7"/>
        <v>1.4662654825488382</v>
      </c>
      <c r="Z25" s="84">
        <v>0.02</v>
      </c>
      <c r="AA25" s="87">
        <v>1</v>
      </c>
      <c r="AB25" s="84">
        <v>0.02</v>
      </c>
      <c r="AC25" s="84">
        <v>0.02</v>
      </c>
      <c r="AD25" s="84">
        <v>0.02</v>
      </c>
      <c r="AE25" s="82"/>
      <c r="AF25" s="82"/>
      <c r="AG25" s="82"/>
      <c r="AH25" s="82"/>
      <c r="AI25" s="85">
        <f t="shared" si="8"/>
        <v>62.770440000000001</v>
      </c>
      <c r="AJ25" s="82">
        <f t="shared" si="9"/>
        <v>59.631917999999999</v>
      </c>
      <c r="AK25" s="86">
        <f t="shared" si="10"/>
        <v>7.5324527999999997</v>
      </c>
      <c r="AL25" s="87"/>
      <c r="AM25" s="84">
        <f t="shared" si="11"/>
        <v>0</v>
      </c>
      <c r="AN25" s="110">
        <f t="shared" si="12"/>
        <v>0</v>
      </c>
      <c r="AO25" s="89"/>
      <c r="AP25" s="89"/>
      <c r="AQ25" s="89"/>
      <c r="AR25" s="89"/>
      <c r="AS25" s="90"/>
      <c r="AT25" s="89"/>
      <c r="AU25" s="89"/>
      <c r="AV25" s="89"/>
      <c r="AW25" s="89"/>
      <c r="AX25" s="111" t="str">
        <f t="shared" si="13"/>
        <v/>
      </c>
      <c r="AY25" s="92" t="str">
        <f t="shared" si="14"/>
        <v/>
      </c>
      <c r="AZ25" s="92">
        <f t="shared" si="15"/>
        <v>110</v>
      </c>
      <c r="BA25" s="93" t="str">
        <f t="shared" si="16"/>
        <v/>
      </c>
      <c r="BB25" s="93" t="str">
        <f t="shared" si="17"/>
        <v/>
      </c>
      <c r="BC25" s="93">
        <f t="shared" si="18"/>
        <v>6.79</v>
      </c>
      <c r="BD25" s="93">
        <f t="shared" si="19"/>
        <v>2</v>
      </c>
      <c r="BE25" s="93">
        <f t="shared" si="20"/>
        <v>1.9</v>
      </c>
      <c r="BF25" s="93"/>
      <c r="BG25" s="94">
        <f t="shared" si="21"/>
        <v>1.73</v>
      </c>
      <c r="BH25" s="94">
        <f t="shared" si="22"/>
        <v>2.63</v>
      </c>
      <c r="BI25" s="94">
        <v>9.86</v>
      </c>
      <c r="BJ25" s="103" t="str">
        <f t="shared" si="23"/>
        <v/>
      </c>
      <c r="BK25" s="94">
        <v>0</v>
      </c>
      <c r="BL25" s="103">
        <v>0</v>
      </c>
      <c r="BM25" s="94">
        <v>0</v>
      </c>
      <c r="BN25" s="103">
        <v>0</v>
      </c>
      <c r="BO25" s="112" t="str">
        <f t="shared" si="24"/>
        <v/>
      </c>
      <c r="BP25" s="89"/>
      <c r="BQ25" s="94">
        <v>1.73</v>
      </c>
      <c r="BR25" s="94">
        <v>2.63</v>
      </c>
      <c r="BS25" s="98"/>
      <c r="BT25" s="94"/>
      <c r="BU25" s="94"/>
      <c r="BV25" s="89"/>
      <c r="BW25" s="94" t="str">
        <f t="shared" si="25"/>
        <v/>
      </c>
      <c r="BX25" s="113" t="str">
        <f t="shared" si="26"/>
        <v/>
      </c>
      <c r="BY25" s="89">
        <f t="shared" si="27"/>
        <v>0.24</v>
      </c>
      <c r="BZ25" s="94">
        <f t="shared" si="28"/>
        <v>1.73</v>
      </c>
      <c r="CA25" s="114">
        <f t="shared" si="29"/>
        <v>2.63</v>
      </c>
      <c r="CB25" s="101"/>
      <c r="CC25" s="101"/>
      <c r="CD25" s="94">
        <f t="shared" si="30"/>
        <v>8.2919999999999998</v>
      </c>
      <c r="CE25" s="94"/>
      <c r="CF25" s="102">
        <v>1.9</v>
      </c>
      <c r="CG25" s="103"/>
      <c r="CH25" s="94"/>
      <c r="CI25" s="103"/>
      <c r="CJ25" s="94"/>
      <c r="CK25" s="103"/>
      <c r="CL25" s="94"/>
      <c r="CM25" s="93"/>
      <c r="CN25" s="105"/>
      <c r="CO25" s="106"/>
      <c r="CP25" s="92" t="str">
        <f t="shared" si="31"/>
        <v/>
      </c>
      <c r="CQ25" s="106" t="str">
        <f t="shared" si="32"/>
        <v/>
      </c>
      <c r="CR25" s="94"/>
      <c r="CS25" s="115"/>
      <c r="CT25" s="108"/>
    </row>
    <row r="26" spans="1:98" ht="20" customHeight="1">
      <c r="A26" s="79">
        <f>DATE(2025,4,3)</f>
        <v>45750</v>
      </c>
      <c r="B26" s="109">
        <v>8.11</v>
      </c>
      <c r="C26" s="81">
        <v>6.5</v>
      </c>
      <c r="D26" s="82"/>
      <c r="E26" s="82">
        <v>138</v>
      </c>
      <c r="F26" s="81">
        <v>5.1100000000000003</v>
      </c>
      <c r="G26" s="83">
        <v>43.1</v>
      </c>
      <c r="H26" s="84">
        <f t="shared" si="0"/>
        <v>8.11</v>
      </c>
      <c r="I26" s="81">
        <v>6.58</v>
      </c>
      <c r="J26" s="82">
        <v>2</v>
      </c>
      <c r="K26" s="81">
        <f t="shared" si="1"/>
        <v>1.9</v>
      </c>
      <c r="L26" s="84">
        <v>0.26</v>
      </c>
      <c r="M26" s="84"/>
      <c r="N26" s="84" t="str">
        <f t="shared" si="2"/>
        <v/>
      </c>
      <c r="O26" s="84" t="str">
        <f t="shared" si="3"/>
        <v/>
      </c>
      <c r="P26" s="84" t="str">
        <f t="shared" si="4"/>
        <v/>
      </c>
      <c r="Q26" s="85">
        <v>472.24</v>
      </c>
      <c r="R26" s="84">
        <f t="shared" si="5"/>
        <v>5.8616460868572222</v>
      </c>
      <c r="S26" s="84">
        <v>0.6</v>
      </c>
      <c r="T26" s="84">
        <f t="shared" si="6"/>
        <v>5.2616460868572226</v>
      </c>
      <c r="U26" s="84">
        <v>0.78</v>
      </c>
      <c r="V26" s="84">
        <v>0.32</v>
      </c>
      <c r="W26" s="86">
        <v>3</v>
      </c>
      <c r="X26" s="82">
        <v>93.6</v>
      </c>
      <c r="Y26" s="84">
        <f t="shared" si="7"/>
        <v>1.3838497635923319</v>
      </c>
      <c r="Z26" s="84">
        <v>0.02</v>
      </c>
      <c r="AA26" s="87">
        <v>1</v>
      </c>
      <c r="AB26" s="84">
        <v>0.02</v>
      </c>
      <c r="AC26" s="84">
        <v>0.02</v>
      </c>
      <c r="AD26" s="84">
        <v>0.02</v>
      </c>
      <c r="AE26" s="82"/>
      <c r="AF26" s="82"/>
      <c r="AG26" s="82"/>
      <c r="AH26" s="82"/>
      <c r="AI26" s="85">
        <f t="shared" si="8"/>
        <v>61.392699999999998</v>
      </c>
      <c r="AJ26" s="82">
        <f t="shared" si="9"/>
        <v>58.323065</v>
      </c>
      <c r="AK26" s="86">
        <f t="shared" si="10"/>
        <v>7.9810510000000008</v>
      </c>
      <c r="AL26" s="87"/>
      <c r="AM26" s="84">
        <f t="shared" si="11"/>
        <v>0</v>
      </c>
      <c r="AN26" s="110">
        <f t="shared" si="12"/>
        <v>0</v>
      </c>
      <c r="AO26" s="89"/>
      <c r="AP26" s="89"/>
      <c r="AQ26" s="89"/>
      <c r="AR26" s="89"/>
      <c r="AS26" s="90"/>
      <c r="AT26" s="89"/>
      <c r="AU26" s="89"/>
      <c r="AV26" s="89"/>
      <c r="AW26" s="89"/>
      <c r="AX26" s="111" t="str">
        <f t="shared" si="13"/>
        <v/>
      </c>
      <c r="AY26" s="92" t="str">
        <f t="shared" si="14"/>
        <v/>
      </c>
      <c r="AZ26" s="92">
        <f t="shared" si="15"/>
        <v>138</v>
      </c>
      <c r="BA26" s="93">
        <f t="shared" si="16"/>
        <v>5.1100000000000003</v>
      </c>
      <c r="BB26" s="93">
        <f t="shared" si="17"/>
        <v>43.1</v>
      </c>
      <c r="BC26" s="93">
        <f t="shared" si="18"/>
        <v>6.58</v>
      </c>
      <c r="BD26" s="93">
        <f t="shared" si="19"/>
        <v>2</v>
      </c>
      <c r="BE26" s="93">
        <f t="shared" si="20"/>
        <v>1.9</v>
      </c>
      <c r="BF26" s="93"/>
      <c r="BG26" s="94" t="str">
        <f t="shared" si="21"/>
        <v/>
      </c>
      <c r="BH26" s="94" t="str">
        <f t="shared" si="22"/>
        <v/>
      </c>
      <c r="BI26" s="94">
        <v>9.66</v>
      </c>
      <c r="BJ26" s="103" t="str">
        <f t="shared" si="23"/>
        <v/>
      </c>
      <c r="BK26" s="94">
        <v>0.2</v>
      </c>
      <c r="BL26" s="103">
        <v>0.1</v>
      </c>
      <c r="BM26" s="94">
        <v>1</v>
      </c>
      <c r="BN26" s="103">
        <v>0.8</v>
      </c>
      <c r="BO26" s="112" t="str">
        <f t="shared" si="24"/>
        <v/>
      </c>
      <c r="BP26" s="89"/>
      <c r="BQ26" s="94"/>
      <c r="BR26" s="94"/>
      <c r="BS26" s="98"/>
      <c r="BT26" s="94"/>
      <c r="BU26" s="94"/>
      <c r="BV26" s="89"/>
      <c r="BW26" s="94" t="str">
        <f t="shared" si="25"/>
        <v/>
      </c>
      <c r="BX26" s="113" t="str">
        <f t="shared" si="26"/>
        <v/>
      </c>
      <c r="BY26" s="89">
        <f t="shared" si="27"/>
        <v>0.26</v>
      </c>
      <c r="BZ26" s="94" t="str">
        <f t="shared" si="28"/>
        <v/>
      </c>
      <c r="CA26" s="114" t="str">
        <f t="shared" si="29"/>
        <v/>
      </c>
      <c r="CB26" s="101"/>
      <c r="CC26" s="101"/>
      <c r="CD26" s="94">
        <f t="shared" si="30"/>
        <v>8.11</v>
      </c>
      <c r="CE26" s="94"/>
      <c r="CF26" s="102">
        <v>1.9</v>
      </c>
      <c r="CG26" s="103"/>
      <c r="CH26" s="94"/>
      <c r="CI26" s="103"/>
      <c r="CJ26" s="94"/>
      <c r="CK26" s="103"/>
      <c r="CL26" s="94"/>
      <c r="CM26" s="93"/>
      <c r="CN26" s="105"/>
      <c r="CO26" s="106"/>
      <c r="CP26" s="92" t="str">
        <f t="shared" si="31"/>
        <v/>
      </c>
      <c r="CQ26" s="106" t="str">
        <f t="shared" si="32"/>
        <v/>
      </c>
      <c r="CR26" s="94"/>
      <c r="CS26" s="115"/>
      <c r="CT26" s="108"/>
    </row>
    <row r="27" spans="1:98" ht="20" customHeight="1">
      <c r="A27" s="79">
        <f>DATE(2025,4,4)</f>
        <v>45751</v>
      </c>
      <c r="B27" s="109">
        <v>8.1069999999999993</v>
      </c>
      <c r="C27" s="81">
        <v>6.6</v>
      </c>
      <c r="D27" s="82"/>
      <c r="E27" s="82"/>
      <c r="F27" s="81"/>
      <c r="G27" s="83"/>
      <c r="H27" s="84">
        <f t="shared" si="0"/>
        <v>8.1069999999999993</v>
      </c>
      <c r="I27" s="81">
        <v>6.69</v>
      </c>
      <c r="J27" s="82"/>
      <c r="K27" s="81" t="str">
        <f t="shared" si="1"/>
        <v/>
      </c>
      <c r="L27" s="84"/>
      <c r="M27" s="84"/>
      <c r="N27" s="84" t="str">
        <f t="shared" si="2"/>
        <v/>
      </c>
      <c r="O27" s="84" t="str">
        <f t="shared" si="3"/>
        <v/>
      </c>
      <c r="P27" s="84" t="str">
        <f t="shared" si="4"/>
        <v/>
      </c>
      <c r="Q27" s="85">
        <v>493.91</v>
      </c>
      <c r="R27" s="84">
        <f t="shared" si="5"/>
        <v>6.1242836134401681</v>
      </c>
      <c r="S27" s="84">
        <v>0.66</v>
      </c>
      <c r="T27" s="84">
        <f t="shared" si="6"/>
        <v>5.464283613440168</v>
      </c>
      <c r="U27" s="84">
        <v>0.93</v>
      </c>
      <c r="V27" s="84">
        <v>0.49</v>
      </c>
      <c r="W27" s="86">
        <v>1</v>
      </c>
      <c r="X27" s="82">
        <v>93.6</v>
      </c>
      <c r="Y27" s="84">
        <f t="shared" si="7"/>
        <v>1.3843618579910959</v>
      </c>
      <c r="Z27" s="84">
        <v>0.12</v>
      </c>
      <c r="AA27" s="87">
        <v>1</v>
      </c>
      <c r="AB27" s="84">
        <v>0.12</v>
      </c>
      <c r="AC27" s="84">
        <v>0.12</v>
      </c>
      <c r="AD27" s="84">
        <v>0.12</v>
      </c>
      <c r="AE27" s="82"/>
      <c r="AF27" s="82"/>
      <c r="AG27" s="82"/>
      <c r="AH27" s="82"/>
      <c r="AI27" s="85" t="str">
        <f t="shared" si="8"/>
        <v/>
      </c>
      <c r="AJ27" s="82" t="str">
        <f t="shared" si="9"/>
        <v/>
      </c>
      <c r="AK27" s="86" t="str">
        <f t="shared" si="10"/>
        <v/>
      </c>
      <c r="AL27" s="87"/>
      <c r="AM27" s="84">
        <f t="shared" si="11"/>
        <v>0</v>
      </c>
      <c r="AN27" s="110">
        <f t="shared" si="12"/>
        <v>0</v>
      </c>
      <c r="AO27" s="89"/>
      <c r="AP27" s="89"/>
      <c r="AQ27" s="89"/>
      <c r="AR27" s="89"/>
      <c r="AS27" s="90"/>
      <c r="AT27" s="89"/>
      <c r="AU27" s="89"/>
      <c r="AV27" s="89"/>
      <c r="AW27" s="89"/>
      <c r="AX27" s="111" t="str">
        <f t="shared" si="13"/>
        <v/>
      </c>
      <c r="AY27" s="92" t="str">
        <f t="shared" si="14"/>
        <v/>
      </c>
      <c r="AZ27" s="92" t="str">
        <f t="shared" si="15"/>
        <v/>
      </c>
      <c r="BA27" s="93" t="str">
        <f t="shared" si="16"/>
        <v/>
      </c>
      <c r="BB27" s="93" t="str">
        <f t="shared" si="17"/>
        <v/>
      </c>
      <c r="BC27" s="93">
        <f t="shared" si="18"/>
        <v>6.69</v>
      </c>
      <c r="BD27" s="93" t="str">
        <f t="shared" si="19"/>
        <v/>
      </c>
      <c r="BE27" s="93" t="str">
        <f t="shared" si="20"/>
        <v/>
      </c>
      <c r="BF27" s="93"/>
      <c r="BG27" s="94" t="str">
        <f t="shared" si="21"/>
        <v/>
      </c>
      <c r="BH27" s="94" t="str">
        <f t="shared" si="22"/>
        <v/>
      </c>
      <c r="BI27" s="94">
        <v>9.67</v>
      </c>
      <c r="BJ27" s="103" t="str">
        <f t="shared" si="23"/>
        <v/>
      </c>
      <c r="BK27" s="94">
        <v>0</v>
      </c>
      <c r="BL27" s="103">
        <v>0</v>
      </c>
      <c r="BM27" s="94">
        <v>0</v>
      </c>
      <c r="BN27" s="103">
        <v>0</v>
      </c>
      <c r="BO27" s="112" t="str">
        <f t="shared" si="24"/>
        <v/>
      </c>
      <c r="BP27" s="89"/>
      <c r="BQ27" s="94"/>
      <c r="BR27" s="94"/>
      <c r="BS27" s="98"/>
      <c r="BT27" s="94"/>
      <c r="BU27" s="94"/>
      <c r="BV27" s="89"/>
      <c r="BW27" s="94" t="str">
        <f t="shared" si="25"/>
        <v/>
      </c>
      <c r="BX27" s="113" t="str">
        <f t="shared" si="26"/>
        <v/>
      </c>
      <c r="BY27" s="89" t="str">
        <f t="shared" si="27"/>
        <v/>
      </c>
      <c r="BZ27" s="94" t="str">
        <f t="shared" si="28"/>
        <v/>
      </c>
      <c r="CA27" s="114" t="str">
        <f t="shared" si="29"/>
        <v/>
      </c>
      <c r="CB27" s="101"/>
      <c r="CC27" s="101"/>
      <c r="CD27" s="94">
        <f t="shared" si="30"/>
        <v>8.1069999999999993</v>
      </c>
      <c r="CE27" s="94"/>
      <c r="CF27" s="102"/>
      <c r="CG27" s="103"/>
      <c r="CH27" s="94"/>
      <c r="CI27" s="103"/>
      <c r="CJ27" s="94"/>
      <c r="CK27" s="103"/>
      <c r="CL27" s="94"/>
      <c r="CM27" s="93"/>
      <c r="CN27" s="105"/>
      <c r="CO27" s="106"/>
      <c r="CP27" s="92" t="str">
        <f t="shared" si="31"/>
        <v/>
      </c>
      <c r="CQ27" s="106" t="str">
        <f t="shared" si="32"/>
        <v/>
      </c>
      <c r="CR27" s="94"/>
      <c r="CS27" s="115"/>
      <c r="CT27" s="108"/>
    </row>
    <row r="28" spans="1:98" ht="20" customHeight="1">
      <c r="A28" s="79">
        <f>DATE(2025,4,5)</f>
        <v>45752</v>
      </c>
      <c r="B28" s="109">
        <v>8.0039999999999996</v>
      </c>
      <c r="C28" s="81">
        <v>6.5</v>
      </c>
      <c r="D28" s="82"/>
      <c r="E28" s="82"/>
      <c r="F28" s="81"/>
      <c r="G28" s="83"/>
      <c r="H28" s="84">
        <f t="shared" si="0"/>
        <v>8.0039999999999996</v>
      </c>
      <c r="I28" s="81">
        <v>6.64</v>
      </c>
      <c r="J28" s="82"/>
      <c r="K28" s="81" t="str">
        <f t="shared" si="1"/>
        <v/>
      </c>
      <c r="L28" s="84"/>
      <c r="M28" s="84"/>
      <c r="N28" s="84" t="str">
        <f t="shared" si="2"/>
        <v/>
      </c>
      <c r="O28" s="84" t="str">
        <f t="shared" si="3"/>
        <v/>
      </c>
      <c r="P28" s="84" t="str">
        <f t="shared" si="4"/>
        <v/>
      </c>
      <c r="Q28" s="85">
        <v>466.48</v>
      </c>
      <c r="R28" s="84">
        <f t="shared" si="5"/>
        <v>5.8507169160069434</v>
      </c>
      <c r="S28" s="84">
        <v>0.64</v>
      </c>
      <c r="T28" s="84">
        <f t="shared" si="6"/>
        <v>5.2107169160069438</v>
      </c>
      <c r="U28" s="84">
        <v>0.87</v>
      </c>
      <c r="V28" s="84">
        <v>0.47</v>
      </c>
      <c r="W28" s="86">
        <v>2</v>
      </c>
      <c r="X28" s="82">
        <v>93.6</v>
      </c>
      <c r="Y28" s="84">
        <f t="shared" si="7"/>
        <v>1.4021766095369581</v>
      </c>
      <c r="Z28" s="84">
        <v>0.03</v>
      </c>
      <c r="AA28" s="87">
        <v>1</v>
      </c>
      <c r="AB28" s="84">
        <v>0.03</v>
      </c>
      <c r="AC28" s="84">
        <v>0.03</v>
      </c>
      <c r="AD28" s="84">
        <v>0.03</v>
      </c>
      <c r="AE28" s="82"/>
      <c r="AF28" s="82"/>
      <c r="AG28" s="82"/>
      <c r="AH28" s="82"/>
      <c r="AI28" s="85" t="str">
        <f t="shared" si="8"/>
        <v/>
      </c>
      <c r="AJ28" s="82" t="str">
        <f t="shared" si="9"/>
        <v/>
      </c>
      <c r="AK28" s="86" t="str">
        <f t="shared" si="10"/>
        <v/>
      </c>
      <c r="AL28" s="87"/>
      <c r="AM28" s="84">
        <f t="shared" si="11"/>
        <v>0</v>
      </c>
      <c r="AN28" s="110">
        <f t="shared" si="12"/>
        <v>0</v>
      </c>
      <c r="AO28" s="89"/>
      <c r="AP28" s="89"/>
      <c r="AQ28" s="89"/>
      <c r="AR28" s="89"/>
      <c r="AS28" s="90"/>
      <c r="AT28" s="89"/>
      <c r="AU28" s="89"/>
      <c r="AV28" s="89"/>
      <c r="AW28" s="89"/>
      <c r="AX28" s="111" t="str">
        <f t="shared" si="13"/>
        <v/>
      </c>
      <c r="AY28" s="92" t="str">
        <f t="shared" si="14"/>
        <v/>
      </c>
      <c r="AZ28" s="92" t="str">
        <f t="shared" si="15"/>
        <v/>
      </c>
      <c r="BA28" s="93" t="str">
        <f t="shared" si="16"/>
        <v/>
      </c>
      <c r="BB28" s="93" t="str">
        <f t="shared" si="17"/>
        <v/>
      </c>
      <c r="BC28" s="93">
        <f t="shared" si="18"/>
        <v>6.64</v>
      </c>
      <c r="BD28" s="93" t="str">
        <f t="shared" si="19"/>
        <v/>
      </c>
      <c r="BE28" s="93" t="str">
        <f t="shared" si="20"/>
        <v/>
      </c>
      <c r="BF28" s="93"/>
      <c r="BG28" s="94" t="str">
        <f t="shared" si="21"/>
        <v/>
      </c>
      <c r="BH28" s="94" t="str">
        <f t="shared" si="22"/>
        <v/>
      </c>
      <c r="BI28" s="94">
        <v>9.56</v>
      </c>
      <c r="BJ28" s="103" t="str">
        <f t="shared" si="23"/>
        <v/>
      </c>
      <c r="BK28" s="94">
        <v>0</v>
      </c>
      <c r="BL28" s="103">
        <v>0</v>
      </c>
      <c r="BM28" s="94">
        <v>0</v>
      </c>
      <c r="BN28" s="103">
        <v>0</v>
      </c>
      <c r="BO28" s="112" t="str">
        <f t="shared" si="24"/>
        <v/>
      </c>
      <c r="BP28" s="89"/>
      <c r="BQ28" s="94"/>
      <c r="BR28" s="94"/>
      <c r="BS28" s="98"/>
      <c r="BT28" s="94"/>
      <c r="BU28" s="94"/>
      <c r="BV28" s="89"/>
      <c r="BW28" s="94" t="str">
        <f t="shared" si="25"/>
        <v/>
      </c>
      <c r="BX28" s="113" t="str">
        <f t="shared" si="26"/>
        <v/>
      </c>
      <c r="BY28" s="89" t="str">
        <f t="shared" si="27"/>
        <v/>
      </c>
      <c r="BZ28" s="94" t="str">
        <f t="shared" si="28"/>
        <v/>
      </c>
      <c r="CA28" s="114" t="str">
        <f t="shared" si="29"/>
        <v/>
      </c>
      <c r="CB28" s="101"/>
      <c r="CC28" s="101"/>
      <c r="CD28" s="94">
        <f t="shared" si="30"/>
        <v>8.0039999999999996</v>
      </c>
      <c r="CE28" s="94"/>
      <c r="CF28" s="102"/>
      <c r="CG28" s="103"/>
      <c r="CH28" s="94"/>
      <c r="CI28" s="103"/>
      <c r="CJ28" s="94"/>
      <c r="CK28" s="103"/>
      <c r="CL28" s="94"/>
      <c r="CM28" s="93"/>
      <c r="CN28" s="105"/>
      <c r="CO28" s="106"/>
      <c r="CP28" s="92" t="str">
        <f t="shared" si="31"/>
        <v/>
      </c>
      <c r="CQ28" s="106" t="str">
        <f t="shared" si="32"/>
        <v/>
      </c>
      <c r="CR28" s="94"/>
      <c r="CS28" s="115"/>
      <c r="CT28" s="108"/>
    </row>
    <row r="29" spans="1:98" ht="20" customHeight="1">
      <c r="A29" s="79">
        <f>DATE(2025,4,6)</f>
        <v>45753</v>
      </c>
      <c r="B29" s="109">
        <v>8.4719999999999995</v>
      </c>
      <c r="C29" s="81">
        <v>6.4</v>
      </c>
      <c r="D29" s="82"/>
      <c r="E29" s="82">
        <v>115</v>
      </c>
      <c r="F29" s="81">
        <v>4.57</v>
      </c>
      <c r="G29" s="83">
        <v>39</v>
      </c>
      <c r="H29" s="84">
        <f t="shared" ref="H29:H34" si="33">fneQ</f>
        <v>8.4719999999999995</v>
      </c>
      <c r="I29" s="81">
        <v>7.03</v>
      </c>
      <c r="J29" s="82"/>
      <c r="K29" s="81">
        <f t="shared" ref="K29:K34" si="34">IF(tssfne="",IF(tssdmrfne="","",tssdmrfne),tssfne)</f>
        <v>2.7</v>
      </c>
      <c r="L29" s="84">
        <v>0.28000000000000003</v>
      </c>
      <c r="M29" s="84">
        <v>0.1</v>
      </c>
      <c r="N29" s="84">
        <f t="shared" ref="N29:N34" si="35">IF(fnetkn_auto="",IF(fne_ntkn_auto="","",fne_ntkn_auto),fnetkn_auto)</f>
        <v>1.96</v>
      </c>
      <c r="O29" s="84">
        <f t="shared" ref="O29:O34" si="36">IF(fnenox_auto="",IF(fne_nnox_auto="","",fne_nnox_auto),fnenox_auto)</f>
        <v>2.56</v>
      </c>
      <c r="P29" s="84">
        <f t="shared" ref="P29:P34" si="37">IF(AND(LEFT(fnetkn_auto,1)="&lt;",LEFT(fnenox_auto)="&lt;"),(SUBSTITUTE(fnetkn_auto,"&lt;",""))/2,IF(ISERROR(zzzfnetkn_auto+zzzfnenox_auto),"",(zzzfnetkn_auto+zzzfnenox_auto)))</f>
        <v>4.5199999999999996</v>
      </c>
      <c r="Q29" s="85">
        <v>438.94</v>
      </c>
      <c r="R29" s="84">
        <f t="shared" ref="R29:R34" si="38">IF(ISBLANK(cttkiq),"",(_postcl2/(cttkiq*8.34)))</f>
        <v>5.252564415533441</v>
      </c>
      <c r="S29" s="84">
        <v>0.71</v>
      </c>
      <c r="T29" s="84">
        <f t="shared" ref="T29:T34" si="39">IF(ISERROR((_postcl2/(cttkiq*8.34))-cl2resav),"",IF(ISBLANK(cttkiq),"",IF(((_postcl2/(cttkiq*8.34))-cl2resav)&lt;0,0,((_postcl2/(cttkiq*8.34))-cl2resav))))</f>
        <v>4.542564415533441</v>
      </c>
      <c r="U29" s="84">
        <v>1.19</v>
      </c>
      <c r="V29" s="84">
        <v>0.47</v>
      </c>
      <c r="W29" s="86">
        <v>1</v>
      </c>
      <c r="X29" s="82">
        <v>96.2</v>
      </c>
      <c r="Y29" s="84">
        <f t="shared" ref="Y29:Y34" si="40">IF(ISBLANK(_so2),"",_so2/(fneQ*8.34))</f>
        <v>1.3615170186796739</v>
      </c>
      <c r="Z29" s="84">
        <v>0.01</v>
      </c>
      <c r="AA29" s="87">
        <v>1</v>
      </c>
      <c r="AB29" s="84">
        <v>0.01</v>
      </c>
      <c r="AC29" s="84">
        <v>0.01</v>
      </c>
      <c r="AD29" s="84">
        <v>0.01</v>
      </c>
      <c r="AE29" s="82"/>
      <c r="AF29" s="82"/>
      <c r="AG29" s="82"/>
      <c r="AH29" s="82"/>
      <c r="AI29" s="85" t="str">
        <f t="shared" ref="AI29:AI34" si="41">IF(ISERROR(fneQ*zzfnebod*3.785),"",fneQ*zzfnebod*3.785)</f>
        <v/>
      </c>
      <c r="AJ29" s="82">
        <f t="shared" ref="AJ29:AJ34" si="42">IF(ISERROR(fneQ*zzfnetss*3.785),"",fneQ*zzfnetss*3.785)</f>
        <v>86.579604000000003</v>
      </c>
      <c r="AK29" s="86">
        <f t="shared" ref="AK29:AK34" si="43">IF(ISERROR(fneQ*zzzfnetp_auto*3.785),"",fneQ*zzzfnetp_auto*3.785)</f>
        <v>8.9786256000000009</v>
      </c>
      <c r="AL29" s="87"/>
      <c r="AM29" s="84">
        <f t="shared" ref="AM29:AM34" si="44">IF(o22emaxs="",o21emaxs,o22emaxs)</f>
        <v>0</v>
      </c>
      <c r="AN29" s="110">
        <f t="shared" ref="AN29:AN34" si="45">IF(o22eaves="",o21eaves,o22eaves)</f>
        <v>0</v>
      </c>
      <c r="AO29" s="89"/>
      <c r="AP29" s="89"/>
      <c r="AQ29" s="89"/>
      <c r="AR29" s="89"/>
      <c r="AS29" s="90"/>
      <c r="AT29" s="89"/>
      <c r="AU29" s="89"/>
      <c r="AV29" s="89"/>
      <c r="AW29" s="89"/>
      <c r="AX29" s="111" t="str">
        <f t="shared" ref="AX29:AX34" si="46">IF(ISBLANK(fne_fcfc_mf),"",IF(RIGHT(fne_fcfc_mf,1)="*","",VALUE(SUBSTITUTE(SUBSTITUTE(fne_fcfc_mf,"&lt;",""),"&gt;",""))))</f>
        <v/>
      </c>
      <c r="AY29" s="92" t="str">
        <f t="shared" ref="AY29:AY34" si="47">IF(ISBLANK(rwicbod),"",IF(RIGHT(rwicbod,1)="*","",VALUE(SUBSTITUTE(SUBSTITUTE(rwicbod,"&lt;",""),"&gt;",""))))</f>
        <v/>
      </c>
      <c r="AZ29" s="92">
        <f t="shared" ref="AZ29:AZ34" si="48">IF(ISBLANK(rwitss),"",IF(RIGHT(rwitss,1)="*","",VALUE(SUBSTITUTE(SUBSTITUTE(rwitss,"&lt;",""),"&gt;",""))))</f>
        <v>115</v>
      </c>
      <c r="BA29" s="93">
        <f t="shared" ref="BA29:BA34" si="49">IF(ISBLANK(rwitp_auto),"",IF(RIGHT(rwitp_auto,1)="*","",VALUE(SUBSTITUTE(SUBSTITUTE(rwitp_auto,"&lt;",""),"&gt;",""))))</f>
        <v>4.57</v>
      </c>
      <c r="BB29" s="93">
        <f t="shared" ref="BB29:BB34" si="50">IF(ISBLANK(rwitkn_auto),"",IF(RIGHT(rwitkn_auto,1)="*","",VALUE(SUBSTITUTE(SUBSTITUTE(rwitkn_auto,"&lt;",""),"&gt;",""))))</f>
        <v>39</v>
      </c>
      <c r="BC29" s="93">
        <f t="shared" ref="BC29:BC34" si="51">IF(ISBLANK(fnephavg),"",IF(RIGHT(fnephavg,1)="*","",VALUE(SUBSTITUTE(SUBSTITUTE(fnephavg,"&lt;",""),"&gt;",""))))</f>
        <v>7.03</v>
      </c>
      <c r="BD29" s="93" t="str">
        <f t="shared" ref="BD29:BD34" si="52">IF(ISBLANK(fnebod),"",IF(RIGHT(fnebod,1)="*","",IF(LEFT(fnebod,1)="&lt;",0,fnebod)))</f>
        <v/>
      </c>
      <c r="BE29" s="93">
        <f t="shared" ref="BE29:BE34" si="53">IF(fnetss="","",IF(RIGHT(fnetss,1)="*","",IF(LEFT(fnetss,1)="&lt;",0,fnetss)))</f>
        <v>2.7</v>
      </c>
      <c r="BF29" s="93"/>
      <c r="BG29" s="94">
        <f t="shared" ref="BG29:BG34" si="54">IF(ISBLANK(fnetkn_auto),"",IF(RIGHT(fnetkn_auto,1)="*","",VALUE(SUBSTITUTE(SUBSTITUTE(fnetkn_auto,"&lt;",""),"&gt;",""))))</f>
        <v>1.96</v>
      </c>
      <c r="BH29" s="94">
        <f t="shared" ref="BH29:BH34" si="55">IF(ISBLANK(fnenox_auto),"",IF(RIGHT(fnenox_auto,1)="*","",IF(LEFT(fnenox_auto,1)="&lt;",0,fnenox_auto)))</f>
        <v>2.56</v>
      </c>
      <c r="BI29" s="94">
        <v>10.02</v>
      </c>
      <c r="BJ29" s="103" t="str">
        <f t="shared" ref="BJ29:BJ34" si="56">IF(ISBLANK(fnenh3_auto),"",IF(RIGHT(fnenh3_auto,1)="*","",VALUE(SUBSTITUTE(SUBSTITUTE(fnenh3_auto,"&lt;",""),"&gt;",""))))</f>
        <v/>
      </c>
      <c r="BK29" s="94">
        <v>0</v>
      </c>
      <c r="BL29" s="103">
        <v>0</v>
      </c>
      <c r="BM29" s="94">
        <v>0</v>
      </c>
      <c r="BN29" s="103">
        <v>0</v>
      </c>
      <c r="BO29" s="112" t="str">
        <f t="shared" ref="BO29:BO34" si="57">IF(ISBLANK(fne_fc2fc_mf2),"",IF(RIGHT(fne_fc2fc_mf2,1)="*","",VALUE(SUBSTITUTE(SUBSTITUTE(fne_fc2fc_mf2,"&lt;",""),"&gt;",""))))</f>
        <v/>
      </c>
      <c r="BP29" s="89"/>
      <c r="BQ29" s="94">
        <v>1.96</v>
      </c>
      <c r="BR29" s="94">
        <v>2.56</v>
      </c>
      <c r="BS29" s="98"/>
      <c r="BT29" s="94"/>
      <c r="BU29" s="94"/>
      <c r="BV29" s="89"/>
      <c r="BW29" s="94" t="str">
        <f t="shared" ref="BW29:BW34" si="58">IF(ISBLANK(fne_ntkn_auto),"",IF(RIGHT(fne_ntkn_auto,1)="*","",IF(LEFT(fne_ntkn_auto,1)="&lt;",0,fne_ntkn_auto)))</f>
        <v/>
      </c>
      <c r="BX29" s="113" t="str">
        <f t="shared" ref="BX29:BX34" si="59">IF(ISBLANK(fne_nnox_auto),"",IF(RIGHT(fne_nnox_auto,1)="*","",IF(LEFT(fne_nnox_auto,1)="&lt;",0,fne_nnox_auto)))</f>
        <v/>
      </c>
      <c r="BY29" s="89">
        <f t="shared" ref="BY29:BY34" si="60">IF(zfnetp_auto="","",IF(RIGHT(zfnetp_auto,1)="*","",IF(LEFT(zfnetp_auto,1)="&lt;",SUBSTITUTE(zfnetp_auto,"&lt;","")/2,zfnetp_auto)))</f>
        <v>0.28000000000000003</v>
      </c>
      <c r="BZ29" s="94">
        <f t="shared" ref="BZ29:BZ34" si="61">IF(zfnetkn_auto="","",IF(RIGHT(zfnetkn_auto,1)="*","",VALUE(SUBSTITUTE(SUBSTITUTE(zfnetkn_auto,"&lt;",""),"&gt;",""))))</f>
        <v>1.96</v>
      </c>
      <c r="CA29" s="114">
        <f t="shared" ref="CA29:CA34" si="62">IF(zfnenox_auto="","",IF(RIGHT(zfnenox_auto,1)="*","",IF(LEFT(zfnenox_auto,1)="&lt;",0,zfnenox_auto)))</f>
        <v>2.56</v>
      </c>
      <c r="CB29" s="101"/>
      <c r="CC29" s="101"/>
      <c r="CD29" s="94">
        <f t="shared" ref="CD29:CD34" si="63">fneQ-reuseq</f>
        <v>8.4719999999999995</v>
      </c>
      <c r="CE29" s="94"/>
      <c r="CF29" s="102">
        <v>2.7</v>
      </c>
      <c r="CG29" s="103"/>
      <c r="CH29" s="94"/>
      <c r="CI29" s="103"/>
      <c r="CJ29" s="94"/>
      <c r="CK29" s="103"/>
      <c r="CL29" s="94"/>
      <c r="CM29" s="93"/>
      <c r="CN29" s="105"/>
      <c r="CO29" s="106"/>
      <c r="CP29" s="92" t="str">
        <f t="shared" ref="CP29:CP34" si="64">IF(ISBLANK(fne_entero_mf1),"",IF(RIGHT(fne_entero_mf1,1)="*","",VALUE(SUBSTITUTE(SUBSTITUTE(fne_entero_mf1,"&lt;",""),"&gt;",""))))</f>
        <v/>
      </c>
      <c r="CQ29" s="106" t="str">
        <f t="shared" ref="CQ29:CQ34" si="65">IF(ISBLANK(fne_entero_mf2),"",IF(RIGHT(fne_entero_mf2,1)="*","",VALUE(SUBSTITUTE(SUBSTITUTE(fne_entero_mf2,"&lt;",""),"&gt;",""))))</f>
        <v/>
      </c>
      <c r="CR29" s="94"/>
      <c r="CS29" s="115"/>
      <c r="CT29" s="108"/>
    </row>
    <row r="30" spans="1:98" ht="20" customHeight="1">
      <c r="A30" s="79">
        <f>DATE(2025,4,7)</f>
        <v>45754</v>
      </c>
      <c r="B30" s="109">
        <v>9.1630000000000003</v>
      </c>
      <c r="C30" s="81">
        <v>6.5</v>
      </c>
      <c r="D30" s="82"/>
      <c r="E30" s="82">
        <v>157</v>
      </c>
      <c r="F30" s="81"/>
      <c r="G30" s="83"/>
      <c r="H30" s="84">
        <f t="shared" si="33"/>
        <v>9.1630000000000003</v>
      </c>
      <c r="I30" s="81">
        <v>6.8</v>
      </c>
      <c r="J30" s="82"/>
      <c r="K30" s="81">
        <f t="shared" si="34"/>
        <v>2.1</v>
      </c>
      <c r="L30" s="84">
        <v>0.28999999999999998</v>
      </c>
      <c r="M30" s="84">
        <v>0.1</v>
      </c>
      <c r="N30" s="84">
        <f t="shared" si="35"/>
        <v>2</v>
      </c>
      <c r="O30" s="84">
        <f t="shared" si="36"/>
        <v>2.27</v>
      </c>
      <c r="P30" s="84">
        <f t="shared" si="37"/>
        <v>4.2699999999999996</v>
      </c>
      <c r="Q30" s="85">
        <v>408.9</v>
      </c>
      <c r="R30" s="84">
        <f t="shared" si="38"/>
        <v>4.5778503247821902</v>
      </c>
      <c r="S30" s="84">
        <v>0.6</v>
      </c>
      <c r="T30" s="84">
        <f t="shared" si="39"/>
        <v>3.9778503247821901</v>
      </c>
      <c r="U30" s="84">
        <v>0.91</v>
      </c>
      <c r="V30" s="84">
        <v>0.38</v>
      </c>
      <c r="W30" s="86">
        <v>1</v>
      </c>
      <c r="X30" s="82">
        <v>96.2</v>
      </c>
      <c r="Y30" s="84">
        <f t="shared" si="40"/>
        <v>1.2588423204468184</v>
      </c>
      <c r="Z30" s="84">
        <v>0.03</v>
      </c>
      <c r="AA30" s="87">
        <v>1</v>
      </c>
      <c r="AB30" s="84">
        <v>0.03</v>
      </c>
      <c r="AC30" s="84">
        <v>0.03</v>
      </c>
      <c r="AD30" s="84">
        <v>0.03</v>
      </c>
      <c r="AE30" s="82"/>
      <c r="AF30" s="82"/>
      <c r="AG30" s="82"/>
      <c r="AH30" s="82"/>
      <c r="AI30" s="85" t="str">
        <f t="shared" si="41"/>
        <v/>
      </c>
      <c r="AJ30" s="82">
        <f t="shared" si="42"/>
        <v>72.832105499999997</v>
      </c>
      <c r="AK30" s="86">
        <f t="shared" si="43"/>
        <v>10.057766950000001</v>
      </c>
      <c r="AL30" s="87"/>
      <c r="AM30" s="84">
        <f t="shared" si="44"/>
        <v>0</v>
      </c>
      <c r="AN30" s="110">
        <f t="shared" si="45"/>
        <v>0</v>
      </c>
      <c r="AO30" s="89"/>
      <c r="AP30" s="89"/>
      <c r="AQ30" s="89"/>
      <c r="AR30" s="89"/>
      <c r="AS30" s="90"/>
      <c r="AT30" s="89"/>
      <c r="AU30" s="89"/>
      <c r="AV30" s="89"/>
      <c r="AW30" s="89"/>
      <c r="AX30" s="111" t="str">
        <f t="shared" si="46"/>
        <v/>
      </c>
      <c r="AY30" s="92" t="str">
        <f t="shared" si="47"/>
        <v/>
      </c>
      <c r="AZ30" s="92">
        <f t="shared" si="48"/>
        <v>157</v>
      </c>
      <c r="BA30" s="93" t="str">
        <f t="shared" si="49"/>
        <v/>
      </c>
      <c r="BB30" s="93" t="str">
        <f t="shared" si="50"/>
        <v/>
      </c>
      <c r="BC30" s="93">
        <f t="shared" si="51"/>
        <v>6.8</v>
      </c>
      <c r="BD30" s="93" t="str">
        <f t="shared" si="52"/>
        <v/>
      </c>
      <c r="BE30" s="93">
        <f t="shared" si="53"/>
        <v>2.1</v>
      </c>
      <c r="BF30" s="93"/>
      <c r="BG30" s="94">
        <f t="shared" si="54"/>
        <v>2</v>
      </c>
      <c r="BH30" s="94">
        <f t="shared" si="55"/>
        <v>2.27</v>
      </c>
      <c r="BI30" s="94">
        <v>10.71</v>
      </c>
      <c r="BJ30" s="103" t="str">
        <f t="shared" si="56"/>
        <v/>
      </c>
      <c r="BK30" s="94">
        <v>0.1</v>
      </c>
      <c r="BL30" s="103">
        <v>0</v>
      </c>
      <c r="BM30" s="94">
        <v>0.8</v>
      </c>
      <c r="BN30" s="103">
        <v>0.5</v>
      </c>
      <c r="BO30" s="112" t="str">
        <f t="shared" si="57"/>
        <v/>
      </c>
      <c r="BP30" s="89"/>
      <c r="BQ30" s="94">
        <v>2</v>
      </c>
      <c r="BR30" s="94">
        <v>2.27</v>
      </c>
      <c r="BS30" s="98"/>
      <c r="BT30" s="94"/>
      <c r="BU30" s="94"/>
      <c r="BV30" s="89"/>
      <c r="BW30" s="94" t="str">
        <f t="shared" si="58"/>
        <v/>
      </c>
      <c r="BX30" s="113" t="str">
        <f t="shared" si="59"/>
        <v/>
      </c>
      <c r="BY30" s="89">
        <f t="shared" si="60"/>
        <v>0.28999999999999998</v>
      </c>
      <c r="BZ30" s="94">
        <f t="shared" si="61"/>
        <v>2</v>
      </c>
      <c r="CA30" s="114">
        <f t="shared" si="62"/>
        <v>2.27</v>
      </c>
      <c r="CB30" s="101"/>
      <c r="CC30" s="101"/>
      <c r="CD30" s="94">
        <f t="shared" si="63"/>
        <v>9.1630000000000003</v>
      </c>
      <c r="CE30" s="94"/>
      <c r="CF30" s="102">
        <v>2.1</v>
      </c>
      <c r="CG30" s="103"/>
      <c r="CH30" s="94"/>
      <c r="CI30" s="103"/>
      <c r="CJ30" s="94"/>
      <c r="CK30" s="103"/>
      <c r="CL30" s="94"/>
      <c r="CM30" s="93"/>
      <c r="CN30" s="105"/>
      <c r="CO30" s="106"/>
      <c r="CP30" s="92" t="str">
        <f t="shared" si="64"/>
        <v/>
      </c>
      <c r="CQ30" s="106" t="str">
        <f t="shared" si="65"/>
        <v/>
      </c>
      <c r="CR30" s="94"/>
      <c r="CS30" s="115"/>
      <c r="CT30" s="108"/>
    </row>
    <row r="31" spans="1:98" ht="20" customHeight="1">
      <c r="A31" s="79">
        <f>DATE(2025,4,8)</f>
        <v>45755</v>
      </c>
      <c r="B31" s="109">
        <v>10.564</v>
      </c>
      <c r="C31" s="81">
        <v>6.5</v>
      </c>
      <c r="D31" s="82"/>
      <c r="E31" s="82">
        <v>135</v>
      </c>
      <c r="F31" s="81">
        <v>4.38</v>
      </c>
      <c r="G31" s="83">
        <v>36.6</v>
      </c>
      <c r="H31" s="84">
        <f t="shared" si="33"/>
        <v>10.564</v>
      </c>
      <c r="I31" s="81">
        <v>6.7</v>
      </c>
      <c r="J31" s="82"/>
      <c r="K31" s="81">
        <f t="shared" si="34"/>
        <v>2.5</v>
      </c>
      <c r="L31" s="84">
        <v>0.33</v>
      </c>
      <c r="M31" s="84">
        <v>7.0000000000000007E-2</v>
      </c>
      <c r="N31" s="84">
        <f t="shared" si="35"/>
        <v>1.94</v>
      </c>
      <c r="O31" s="84">
        <f t="shared" si="36"/>
        <v>3.35</v>
      </c>
      <c r="P31" s="84">
        <f t="shared" si="37"/>
        <v>5.29</v>
      </c>
      <c r="Q31" s="85">
        <v>549.15</v>
      </c>
      <c r="R31" s="84">
        <f t="shared" si="38"/>
        <v>5.4372686821640954</v>
      </c>
      <c r="S31" s="84">
        <v>0.59</v>
      </c>
      <c r="T31" s="84">
        <f t="shared" si="39"/>
        <v>4.8472686821640956</v>
      </c>
      <c r="U31" s="84">
        <v>0.75</v>
      </c>
      <c r="V31" s="84">
        <v>0.33</v>
      </c>
      <c r="W31" s="86">
        <v>2</v>
      </c>
      <c r="X31" s="82">
        <v>96.2</v>
      </c>
      <c r="Y31" s="84">
        <f t="shared" si="40"/>
        <v>1.0918943754500376</v>
      </c>
      <c r="Z31" s="84">
        <v>0.02</v>
      </c>
      <c r="AA31" s="87">
        <v>1</v>
      </c>
      <c r="AB31" s="84">
        <v>0.02</v>
      </c>
      <c r="AC31" s="84">
        <v>0.02</v>
      </c>
      <c r="AD31" s="84">
        <v>0.02</v>
      </c>
      <c r="AE31" s="82">
        <v>1</v>
      </c>
      <c r="AF31" s="82"/>
      <c r="AG31" s="82">
        <v>2</v>
      </c>
      <c r="AH31" s="82"/>
      <c r="AI31" s="85" t="str">
        <f t="shared" si="41"/>
        <v/>
      </c>
      <c r="AJ31" s="82">
        <f t="shared" si="42"/>
        <v>99.961849999999998</v>
      </c>
      <c r="AK31" s="86">
        <f t="shared" si="43"/>
        <v>13.194964200000001</v>
      </c>
      <c r="AL31" s="87"/>
      <c r="AM31" s="84">
        <f t="shared" si="44"/>
        <v>0</v>
      </c>
      <c r="AN31" s="110">
        <f t="shared" si="45"/>
        <v>0</v>
      </c>
      <c r="AO31" s="89"/>
      <c r="AP31" s="89"/>
      <c r="AQ31" s="89"/>
      <c r="AR31" s="89"/>
      <c r="AS31" s="90"/>
      <c r="AT31" s="89"/>
      <c r="AU31" s="89"/>
      <c r="AV31" s="89"/>
      <c r="AW31" s="89"/>
      <c r="AX31" s="111">
        <f t="shared" si="46"/>
        <v>1</v>
      </c>
      <c r="AY31" s="92" t="str">
        <f t="shared" si="47"/>
        <v/>
      </c>
      <c r="AZ31" s="92">
        <f t="shared" si="48"/>
        <v>135</v>
      </c>
      <c r="BA31" s="93">
        <f t="shared" si="49"/>
        <v>4.38</v>
      </c>
      <c r="BB31" s="93">
        <f t="shared" si="50"/>
        <v>36.6</v>
      </c>
      <c r="BC31" s="93">
        <f t="shared" si="51"/>
        <v>6.7</v>
      </c>
      <c r="BD31" s="93" t="str">
        <f t="shared" si="52"/>
        <v/>
      </c>
      <c r="BE31" s="93">
        <f t="shared" si="53"/>
        <v>2.5</v>
      </c>
      <c r="BF31" s="93"/>
      <c r="BG31" s="94">
        <f t="shared" si="54"/>
        <v>1.94</v>
      </c>
      <c r="BH31" s="94">
        <f t="shared" si="55"/>
        <v>3.35</v>
      </c>
      <c r="BI31" s="94">
        <v>12.11</v>
      </c>
      <c r="BJ31" s="103" t="str">
        <f t="shared" si="56"/>
        <v/>
      </c>
      <c r="BK31" s="94">
        <v>0</v>
      </c>
      <c r="BL31" s="103">
        <v>0</v>
      </c>
      <c r="BM31" s="94">
        <v>0</v>
      </c>
      <c r="BN31" s="103">
        <v>0</v>
      </c>
      <c r="BO31" s="112" t="str">
        <f t="shared" si="57"/>
        <v/>
      </c>
      <c r="BP31" s="89"/>
      <c r="BQ31" s="94">
        <v>1.94</v>
      </c>
      <c r="BR31" s="94">
        <v>3.35</v>
      </c>
      <c r="BS31" s="98"/>
      <c r="BT31" s="94"/>
      <c r="BU31" s="94"/>
      <c r="BV31" s="89"/>
      <c r="BW31" s="94" t="str">
        <f t="shared" si="58"/>
        <v/>
      </c>
      <c r="BX31" s="113" t="str">
        <f t="shared" si="59"/>
        <v/>
      </c>
      <c r="BY31" s="89">
        <f t="shared" si="60"/>
        <v>0.33</v>
      </c>
      <c r="BZ31" s="94">
        <f t="shared" si="61"/>
        <v>1.94</v>
      </c>
      <c r="CA31" s="114">
        <f t="shared" si="62"/>
        <v>3.35</v>
      </c>
      <c r="CB31" s="101"/>
      <c r="CC31" s="101"/>
      <c r="CD31" s="94">
        <f t="shared" si="63"/>
        <v>10.564</v>
      </c>
      <c r="CE31" s="94"/>
      <c r="CF31" s="102">
        <v>2.5</v>
      </c>
      <c r="CG31" s="103"/>
      <c r="CH31" s="94"/>
      <c r="CI31" s="103"/>
      <c r="CJ31" s="94"/>
      <c r="CK31" s="103"/>
      <c r="CL31" s="94"/>
      <c r="CM31" s="93"/>
      <c r="CN31" s="105"/>
      <c r="CO31" s="106"/>
      <c r="CP31" s="92">
        <f t="shared" si="64"/>
        <v>2</v>
      </c>
      <c r="CQ31" s="106" t="str">
        <f t="shared" si="65"/>
        <v/>
      </c>
      <c r="CR31" s="94"/>
      <c r="CS31" s="115"/>
      <c r="CT31" s="108"/>
    </row>
    <row r="32" spans="1:98" ht="20" customHeight="1">
      <c r="A32" s="79">
        <f>DATE(2025,4,9)</f>
        <v>45756</v>
      </c>
      <c r="B32" s="109">
        <v>9.5820000000000007</v>
      </c>
      <c r="C32" s="81">
        <v>6.6</v>
      </c>
      <c r="D32" s="82"/>
      <c r="E32" s="82">
        <v>313</v>
      </c>
      <c r="F32" s="81"/>
      <c r="G32" s="83"/>
      <c r="H32" s="84">
        <f t="shared" si="33"/>
        <v>9.5820000000000007</v>
      </c>
      <c r="I32" s="81">
        <v>6.75</v>
      </c>
      <c r="J32" s="82"/>
      <c r="K32" s="81">
        <f t="shared" si="34"/>
        <v>2.7</v>
      </c>
      <c r="L32" s="84"/>
      <c r="M32" s="84">
        <v>7.0000000000000007E-2</v>
      </c>
      <c r="N32" s="84" t="str">
        <f t="shared" si="35"/>
        <v/>
      </c>
      <c r="O32" s="84">
        <f t="shared" si="36"/>
        <v>3.02</v>
      </c>
      <c r="P32" s="84" t="str">
        <f t="shared" si="37"/>
        <v/>
      </c>
      <c r="Q32" s="85">
        <v>335.41</v>
      </c>
      <c r="R32" s="84">
        <f t="shared" si="38"/>
        <v>3.5185499894048018</v>
      </c>
      <c r="S32" s="84">
        <v>0.63</v>
      </c>
      <c r="T32" s="84">
        <f t="shared" si="39"/>
        <v>2.8885499894048019</v>
      </c>
      <c r="U32" s="84">
        <v>0.78</v>
      </c>
      <c r="V32" s="84">
        <v>0.49</v>
      </c>
      <c r="W32" s="86">
        <v>1</v>
      </c>
      <c r="X32" s="82">
        <v>93.6</v>
      </c>
      <c r="Y32" s="84">
        <f t="shared" si="40"/>
        <v>1.1712608623182854</v>
      </c>
      <c r="Z32" s="84">
        <v>0.03</v>
      </c>
      <c r="AA32" s="87">
        <v>1</v>
      </c>
      <c r="AB32" s="84">
        <v>0.03</v>
      </c>
      <c r="AC32" s="84">
        <v>0.03</v>
      </c>
      <c r="AD32" s="84">
        <v>0.03</v>
      </c>
      <c r="AE32" s="82"/>
      <c r="AF32" s="82"/>
      <c r="AG32" s="82"/>
      <c r="AH32" s="82"/>
      <c r="AI32" s="85" t="str">
        <f t="shared" si="41"/>
        <v/>
      </c>
      <c r="AJ32" s="82">
        <f t="shared" si="42"/>
        <v>97.923249000000027</v>
      </c>
      <c r="AK32" s="86" t="str">
        <f t="shared" si="43"/>
        <v/>
      </c>
      <c r="AL32" s="87"/>
      <c r="AM32" s="84">
        <f t="shared" si="44"/>
        <v>0</v>
      </c>
      <c r="AN32" s="110">
        <f t="shared" si="45"/>
        <v>0</v>
      </c>
      <c r="AO32" s="89"/>
      <c r="AP32" s="89"/>
      <c r="AQ32" s="89"/>
      <c r="AR32" s="89"/>
      <c r="AS32" s="90"/>
      <c r="AT32" s="89"/>
      <c r="AU32" s="89"/>
      <c r="AV32" s="89"/>
      <c r="AW32" s="89"/>
      <c r="AX32" s="111" t="str">
        <f t="shared" si="46"/>
        <v/>
      </c>
      <c r="AY32" s="92" t="str">
        <f t="shared" si="47"/>
        <v/>
      </c>
      <c r="AZ32" s="92">
        <f t="shared" si="48"/>
        <v>313</v>
      </c>
      <c r="BA32" s="93" t="str">
        <f t="shared" si="49"/>
        <v/>
      </c>
      <c r="BB32" s="93" t="str">
        <f t="shared" si="50"/>
        <v/>
      </c>
      <c r="BC32" s="93">
        <f t="shared" si="51"/>
        <v>6.75</v>
      </c>
      <c r="BD32" s="93" t="str">
        <f t="shared" si="52"/>
        <v/>
      </c>
      <c r="BE32" s="93">
        <f t="shared" si="53"/>
        <v>2.7</v>
      </c>
      <c r="BF32" s="93"/>
      <c r="BG32" s="94" t="str">
        <f t="shared" si="54"/>
        <v/>
      </c>
      <c r="BH32" s="94">
        <f t="shared" si="55"/>
        <v>3.02</v>
      </c>
      <c r="BI32" s="94">
        <v>11.43</v>
      </c>
      <c r="BJ32" s="103" t="str">
        <f t="shared" si="56"/>
        <v/>
      </c>
      <c r="BK32" s="94">
        <v>0</v>
      </c>
      <c r="BL32" s="103">
        <v>0</v>
      </c>
      <c r="BM32" s="94">
        <v>0</v>
      </c>
      <c r="BN32" s="103">
        <v>0</v>
      </c>
      <c r="BO32" s="112" t="str">
        <f t="shared" si="57"/>
        <v/>
      </c>
      <c r="BP32" s="89"/>
      <c r="BQ32" s="94"/>
      <c r="BR32" s="94">
        <v>3.02</v>
      </c>
      <c r="BS32" s="98"/>
      <c r="BT32" s="94"/>
      <c r="BU32" s="94"/>
      <c r="BV32" s="89"/>
      <c r="BW32" s="94" t="str">
        <f t="shared" si="58"/>
        <v/>
      </c>
      <c r="BX32" s="113" t="str">
        <f t="shared" si="59"/>
        <v/>
      </c>
      <c r="BY32" s="89" t="str">
        <f t="shared" si="60"/>
        <v/>
      </c>
      <c r="BZ32" s="94" t="str">
        <f t="shared" si="61"/>
        <v/>
      </c>
      <c r="CA32" s="114">
        <f t="shared" si="62"/>
        <v>3.02</v>
      </c>
      <c r="CB32" s="101"/>
      <c r="CC32" s="101"/>
      <c r="CD32" s="94">
        <f t="shared" si="63"/>
        <v>9.5820000000000007</v>
      </c>
      <c r="CE32" s="94"/>
      <c r="CF32" s="102">
        <v>2.7</v>
      </c>
      <c r="CG32" s="103"/>
      <c r="CH32" s="94"/>
      <c r="CI32" s="103"/>
      <c r="CJ32" s="94"/>
      <c r="CK32" s="103"/>
      <c r="CL32" s="94"/>
      <c r="CM32" s="93"/>
      <c r="CN32" s="105"/>
      <c r="CO32" s="106"/>
      <c r="CP32" s="92" t="str">
        <f t="shared" si="64"/>
        <v/>
      </c>
      <c r="CQ32" s="106" t="str">
        <f t="shared" si="65"/>
        <v/>
      </c>
      <c r="CR32" s="94"/>
      <c r="CS32" s="115"/>
      <c r="CT32" s="108"/>
    </row>
    <row r="33" spans="1:98" ht="20" customHeight="1">
      <c r="A33" s="79">
        <f>DATE(2025,4,10)</f>
        <v>45757</v>
      </c>
      <c r="B33" s="109">
        <v>9.016</v>
      </c>
      <c r="C33" s="81">
        <v>6.7</v>
      </c>
      <c r="D33" s="82"/>
      <c r="E33" s="82"/>
      <c r="F33" s="81"/>
      <c r="G33" s="83"/>
      <c r="H33" s="84">
        <f t="shared" si="33"/>
        <v>9.016</v>
      </c>
      <c r="I33" s="81">
        <v>6.75</v>
      </c>
      <c r="J33" s="82"/>
      <c r="K33" s="81" t="str">
        <f t="shared" si="34"/>
        <v/>
      </c>
      <c r="L33" s="84"/>
      <c r="M33" s="84"/>
      <c r="N33" s="84" t="str">
        <f t="shared" si="35"/>
        <v/>
      </c>
      <c r="O33" s="84" t="str">
        <f t="shared" si="36"/>
        <v/>
      </c>
      <c r="P33" s="84" t="str">
        <f t="shared" si="37"/>
        <v/>
      </c>
      <c r="Q33" s="85">
        <v>301.60000000000002</v>
      </c>
      <c r="R33" s="84">
        <f t="shared" si="38"/>
        <v>3.4805649224604918</v>
      </c>
      <c r="S33" s="84">
        <v>0.63</v>
      </c>
      <c r="T33" s="84">
        <f t="shared" si="39"/>
        <v>2.8505649224604919</v>
      </c>
      <c r="U33" s="84">
        <v>0.74</v>
      </c>
      <c r="V33" s="84">
        <v>0.5</v>
      </c>
      <c r="W33" s="86">
        <v>0</v>
      </c>
      <c r="X33" s="82">
        <v>93.6</v>
      </c>
      <c r="Y33" s="84">
        <f t="shared" si="40"/>
        <v>1.2447894390787282</v>
      </c>
      <c r="Z33" s="84">
        <v>0</v>
      </c>
      <c r="AA33" s="87">
        <v>1</v>
      </c>
      <c r="AB33" s="84">
        <v>0</v>
      </c>
      <c r="AC33" s="84">
        <v>0</v>
      </c>
      <c r="AD33" s="84">
        <v>0</v>
      </c>
      <c r="AE33" s="82"/>
      <c r="AF33" s="82"/>
      <c r="AG33" s="82"/>
      <c r="AH33" s="82"/>
      <c r="AI33" s="85" t="str">
        <f t="shared" si="41"/>
        <v/>
      </c>
      <c r="AJ33" s="82" t="str">
        <f t="shared" si="42"/>
        <v/>
      </c>
      <c r="AK33" s="86" t="str">
        <f t="shared" si="43"/>
        <v/>
      </c>
      <c r="AL33" s="87"/>
      <c r="AM33" s="84">
        <f t="shared" si="44"/>
        <v>0</v>
      </c>
      <c r="AN33" s="110">
        <f t="shared" si="45"/>
        <v>0</v>
      </c>
      <c r="AO33" s="89"/>
      <c r="AP33" s="89"/>
      <c r="AQ33" s="89"/>
      <c r="AR33" s="89"/>
      <c r="AS33" s="90"/>
      <c r="AT33" s="89"/>
      <c r="AU33" s="89"/>
      <c r="AV33" s="89"/>
      <c r="AW33" s="89"/>
      <c r="AX33" s="111" t="str">
        <f t="shared" si="46"/>
        <v/>
      </c>
      <c r="AY33" s="92" t="str">
        <f t="shared" si="47"/>
        <v/>
      </c>
      <c r="AZ33" s="92" t="str">
        <f t="shared" si="48"/>
        <v/>
      </c>
      <c r="BA33" s="93" t="str">
        <f t="shared" si="49"/>
        <v/>
      </c>
      <c r="BB33" s="93" t="str">
        <f t="shared" si="50"/>
        <v/>
      </c>
      <c r="BC33" s="93">
        <f t="shared" si="51"/>
        <v>6.75</v>
      </c>
      <c r="BD33" s="93" t="str">
        <f t="shared" si="52"/>
        <v/>
      </c>
      <c r="BE33" s="93" t="str">
        <f t="shared" si="53"/>
        <v/>
      </c>
      <c r="BF33" s="93"/>
      <c r="BG33" s="94" t="str">
        <f t="shared" si="54"/>
        <v/>
      </c>
      <c r="BH33" s="94" t="str">
        <f t="shared" si="55"/>
        <v/>
      </c>
      <c r="BI33" s="94">
        <v>10.39</v>
      </c>
      <c r="BJ33" s="103" t="str">
        <f t="shared" si="56"/>
        <v/>
      </c>
      <c r="BK33" s="94">
        <v>0</v>
      </c>
      <c r="BL33" s="103">
        <v>0</v>
      </c>
      <c r="BM33" s="94">
        <v>0</v>
      </c>
      <c r="BN33" s="103">
        <v>0</v>
      </c>
      <c r="BO33" s="112" t="str">
        <f t="shared" si="57"/>
        <v/>
      </c>
      <c r="BP33" s="89"/>
      <c r="BQ33" s="94"/>
      <c r="BR33" s="94"/>
      <c r="BS33" s="98"/>
      <c r="BT33" s="94"/>
      <c r="BU33" s="94"/>
      <c r="BV33" s="89"/>
      <c r="BW33" s="94" t="str">
        <f t="shared" si="58"/>
        <v/>
      </c>
      <c r="BX33" s="113" t="str">
        <f t="shared" si="59"/>
        <v/>
      </c>
      <c r="BY33" s="89" t="str">
        <f t="shared" si="60"/>
        <v/>
      </c>
      <c r="BZ33" s="94" t="str">
        <f t="shared" si="61"/>
        <v/>
      </c>
      <c r="CA33" s="114" t="str">
        <f t="shared" si="62"/>
        <v/>
      </c>
      <c r="CB33" s="101"/>
      <c r="CC33" s="101"/>
      <c r="CD33" s="94">
        <f t="shared" si="63"/>
        <v>9.016</v>
      </c>
      <c r="CE33" s="94"/>
      <c r="CF33" s="102"/>
      <c r="CG33" s="103"/>
      <c r="CH33" s="94"/>
      <c r="CI33" s="103"/>
      <c r="CJ33" s="94"/>
      <c r="CK33" s="103"/>
      <c r="CL33" s="94"/>
      <c r="CM33" s="93"/>
      <c r="CN33" s="105"/>
      <c r="CO33" s="106"/>
      <c r="CP33" s="92" t="str">
        <f t="shared" si="64"/>
        <v/>
      </c>
      <c r="CQ33" s="106" t="str">
        <f t="shared" si="65"/>
        <v/>
      </c>
      <c r="CR33" s="94"/>
      <c r="CS33" s="115"/>
      <c r="CT33" s="108"/>
    </row>
    <row r="34" spans="1:98" ht="20" customHeight="1">
      <c r="A34" s="79">
        <f>DATE(2025,4,11)</f>
        <v>45758</v>
      </c>
      <c r="B34" s="109"/>
      <c r="C34" s="81"/>
      <c r="D34" s="82"/>
      <c r="E34" s="82"/>
      <c r="F34" s="81"/>
      <c r="G34" s="83"/>
      <c r="H34" s="84">
        <f t="shared" si="33"/>
        <v>0</v>
      </c>
      <c r="I34" s="81"/>
      <c r="J34" s="82"/>
      <c r="K34" s="81" t="str">
        <f t="shared" si="34"/>
        <v/>
      </c>
      <c r="L34" s="84"/>
      <c r="M34" s="84"/>
      <c r="N34" s="84" t="str">
        <f t="shared" si="35"/>
        <v/>
      </c>
      <c r="O34" s="84" t="str">
        <f t="shared" si="36"/>
        <v/>
      </c>
      <c r="P34" s="84" t="str">
        <f t="shared" si="37"/>
        <v/>
      </c>
      <c r="Q34" s="85"/>
      <c r="R34" s="84" t="str">
        <f t="shared" si="38"/>
        <v/>
      </c>
      <c r="S34" s="84"/>
      <c r="T34" s="84" t="str">
        <f t="shared" si="39"/>
        <v/>
      </c>
      <c r="U34" s="84"/>
      <c r="V34" s="84"/>
      <c r="W34" s="86"/>
      <c r="X34" s="82"/>
      <c r="Y34" s="84" t="str">
        <f t="shared" si="40"/>
        <v/>
      </c>
      <c r="Z34" s="84"/>
      <c r="AA34" s="87"/>
      <c r="AB34" s="84"/>
      <c r="AC34" s="84"/>
      <c r="AD34" s="84"/>
      <c r="AE34" s="82"/>
      <c r="AF34" s="82"/>
      <c r="AG34" s="82"/>
      <c r="AH34" s="82"/>
      <c r="AI34" s="85" t="str">
        <f t="shared" si="41"/>
        <v/>
      </c>
      <c r="AJ34" s="82" t="str">
        <f t="shared" si="42"/>
        <v/>
      </c>
      <c r="AK34" s="86" t="str">
        <f t="shared" si="43"/>
        <v/>
      </c>
      <c r="AL34" s="87"/>
      <c r="AM34" s="84">
        <f t="shared" si="44"/>
        <v>0</v>
      </c>
      <c r="AN34" s="110">
        <f t="shared" si="45"/>
        <v>0</v>
      </c>
      <c r="AO34" s="89"/>
      <c r="AP34" s="89"/>
      <c r="AQ34" s="89"/>
      <c r="AR34" s="89"/>
      <c r="AS34" s="90"/>
      <c r="AT34" s="89"/>
      <c r="AU34" s="89"/>
      <c r="AV34" s="89"/>
      <c r="AW34" s="89"/>
      <c r="AX34" s="111" t="str">
        <f t="shared" si="46"/>
        <v/>
      </c>
      <c r="AY34" s="92" t="str">
        <f t="shared" si="47"/>
        <v/>
      </c>
      <c r="AZ34" s="92" t="str">
        <f t="shared" si="48"/>
        <v/>
      </c>
      <c r="BA34" s="93" t="str">
        <f t="shared" si="49"/>
        <v/>
      </c>
      <c r="BB34" s="93" t="str">
        <f t="shared" si="50"/>
        <v/>
      </c>
      <c r="BC34" s="93" t="str">
        <f t="shared" si="51"/>
        <v/>
      </c>
      <c r="BD34" s="93" t="str">
        <f t="shared" si="52"/>
        <v/>
      </c>
      <c r="BE34" s="93" t="str">
        <f t="shared" si="53"/>
        <v/>
      </c>
      <c r="BF34" s="93"/>
      <c r="BG34" s="94" t="str">
        <f t="shared" si="54"/>
        <v/>
      </c>
      <c r="BH34" s="94" t="str">
        <f t="shared" si="55"/>
        <v/>
      </c>
      <c r="BI34" s="94"/>
      <c r="BJ34" s="103" t="str">
        <f t="shared" si="56"/>
        <v/>
      </c>
      <c r="BK34" s="94"/>
      <c r="BL34" s="103"/>
      <c r="BM34" s="94"/>
      <c r="BN34" s="103"/>
      <c r="BO34" s="112" t="str">
        <f t="shared" si="57"/>
        <v/>
      </c>
      <c r="BP34" s="89"/>
      <c r="BQ34" s="94"/>
      <c r="BR34" s="94"/>
      <c r="BS34" s="98"/>
      <c r="BT34" s="94"/>
      <c r="BU34" s="94"/>
      <c r="BV34" s="89"/>
      <c r="BW34" s="94" t="str">
        <f t="shared" si="58"/>
        <v/>
      </c>
      <c r="BX34" s="113" t="str">
        <f t="shared" si="59"/>
        <v/>
      </c>
      <c r="BY34" s="89" t="str">
        <f t="shared" si="60"/>
        <v/>
      </c>
      <c r="BZ34" s="94" t="str">
        <f t="shared" si="61"/>
        <v/>
      </c>
      <c r="CA34" s="114" t="str">
        <f t="shared" si="62"/>
        <v/>
      </c>
      <c r="CB34" s="101"/>
      <c r="CC34" s="101"/>
      <c r="CD34" s="94">
        <f t="shared" si="63"/>
        <v>0</v>
      </c>
      <c r="CE34" s="94"/>
      <c r="CF34" s="102"/>
      <c r="CG34" s="103"/>
      <c r="CH34" s="94"/>
      <c r="CI34" s="103"/>
      <c r="CJ34" s="94"/>
      <c r="CK34" s="103"/>
      <c r="CL34" s="94"/>
      <c r="CM34" s="93"/>
      <c r="CN34" s="105"/>
      <c r="CO34" s="106"/>
      <c r="CP34" s="92" t="str">
        <f t="shared" si="64"/>
        <v/>
      </c>
      <c r="CQ34" s="106" t="str">
        <f t="shared" si="65"/>
        <v/>
      </c>
      <c r="CR34" s="94"/>
      <c r="CS34" s="115"/>
      <c r="CT34" s="108"/>
    </row>
    <row r="35" spans="1:98" ht="20" customHeight="1">
      <c r="A35" s="79"/>
      <c r="B35" s="109"/>
      <c r="C35" s="81"/>
      <c r="D35" s="82"/>
      <c r="E35" s="82"/>
      <c r="F35" s="81"/>
      <c r="G35" s="83"/>
      <c r="H35" s="84"/>
      <c r="I35" s="81"/>
      <c r="J35" s="82"/>
      <c r="K35" s="81"/>
      <c r="L35" s="84"/>
      <c r="M35" s="84"/>
      <c r="N35" s="84"/>
      <c r="O35" s="84"/>
      <c r="P35" s="84"/>
      <c r="Q35" s="85"/>
      <c r="R35" s="84"/>
      <c r="S35" s="84"/>
      <c r="T35" s="84"/>
      <c r="U35" s="84"/>
      <c r="V35" s="84"/>
      <c r="W35" s="86"/>
      <c r="X35" s="82"/>
      <c r="Y35" s="84"/>
      <c r="Z35" s="84"/>
      <c r="AA35" s="87"/>
      <c r="AB35" s="84"/>
      <c r="AC35" s="84"/>
      <c r="AD35" s="84"/>
      <c r="AE35" s="82"/>
      <c r="AF35" s="82"/>
      <c r="AG35" s="82"/>
      <c r="AH35" s="82"/>
      <c r="AI35" s="85"/>
      <c r="AJ35" s="82"/>
      <c r="AK35" s="86"/>
      <c r="AL35" s="87"/>
      <c r="AM35" s="84"/>
      <c r="AN35" s="110"/>
      <c r="AO35" s="89"/>
      <c r="AP35" s="89"/>
      <c r="AQ35" s="89"/>
      <c r="AR35" s="89"/>
      <c r="AS35" s="90"/>
      <c r="AT35" s="89"/>
      <c r="AU35" s="89"/>
      <c r="AV35" s="89"/>
      <c r="AW35" s="89"/>
      <c r="AX35" s="111"/>
      <c r="AY35" s="92"/>
      <c r="AZ35" s="92"/>
      <c r="BA35" s="93"/>
      <c r="BB35" s="93"/>
      <c r="BC35" s="93"/>
      <c r="BD35" s="93"/>
      <c r="BE35" s="93"/>
      <c r="BF35" s="93"/>
      <c r="BG35" s="94"/>
      <c r="BH35" s="94"/>
      <c r="BI35" s="94"/>
      <c r="BJ35" s="103"/>
      <c r="BK35" s="94"/>
      <c r="BL35" s="103"/>
      <c r="BM35" s="94"/>
      <c r="BN35" s="103"/>
      <c r="BO35" s="112"/>
      <c r="BP35" s="89"/>
      <c r="BQ35" s="94"/>
      <c r="BR35" s="94"/>
      <c r="BS35" s="98"/>
      <c r="BT35" s="94"/>
      <c r="BU35" s="94"/>
      <c r="BV35" s="89"/>
      <c r="BW35" s="94"/>
      <c r="BX35" s="113"/>
      <c r="BY35" s="89"/>
      <c r="BZ35" s="94"/>
      <c r="CA35" s="114"/>
      <c r="CB35" s="101"/>
      <c r="CC35" s="101"/>
      <c r="CD35" s="94"/>
      <c r="CE35" s="94"/>
      <c r="CF35" s="102"/>
      <c r="CG35" s="103"/>
      <c r="CH35" s="94"/>
      <c r="CI35" s="103"/>
      <c r="CJ35" s="94"/>
      <c r="CK35" s="103"/>
      <c r="CL35" s="94"/>
      <c r="CM35" s="93"/>
      <c r="CN35" s="105"/>
      <c r="CO35" s="106"/>
      <c r="CP35" s="92"/>
      <c r="CQ35" s="106"/>
      <c r="CR35" s="94"/>
      <c r="CS35" s="115"/>
      <c r="CT35" s="108"/>
    </row>
    <row r="36" spans="1:98" ht="18">
      <c r="A36" s="79"/>
      <c r="B36" s="116"/>
      <c r="C36" s="117"/>
      <c r="D36" s="118"/>
      <c r="E36" s="118"/>
      <c r="F36" s="117"/>
      <c r="G36" s="119"/>
      <c r="H36" s="120"/>
      <c r="I36" s="117"/>
      <c r="J36" s="118"/>
      <c r="K36" s="117"/>
      <c r="L36" s="120"/>
      <c r="M36" s="120"/>
      <c r="N36" s="120"/>
      <c r="O36" s="120"/>
      <c r="P36" s="120"/>
      <c r="Q36" s="121"/>
      <c r="R36" s="120"/>
      <c r="S36" s="120"/>
      <c r="T36" s="120"/>
      <c r="U36" s="120"/>
      <c r="V36" s="120"/>
      <c r="W36" s="122"/>
      <c r="X36" s="118"/>
      <c r="Y36" s="120"/>
      <c r="Z36" s="120"/>
      <c r="AA36" s="118"/>
      <c r="AB36" s="120"/>
      <c r="AC36" s="120"/>
      <c r="AD36" s="120"/>
      <c r="AE36" s="118"/>
      <c r="AF36" s="118"/>
      <c r="AG36" s="118"/>
      <c r="AH36" s="118"/>
      <c r="AI36" s="121"/>
      <c r="AJ36" s="118"/>
      <c r="AK36" s="122"/>
      <c r="AL36" s="123"/>
      <c r="AM36" s="120"/>
      <c r="AN36" s="124"/>
      <c r="AO36" s="89"/>
      <c r="AP36" s="89"/>
      <c r="AQ36" s="89"/>
      <c r="AR36" s="89"/>
      <c r="AS36" s="125"/>
      <c r="AT36" s="89"/>
      <c r="AU36" s="89"/>
      <c r="AV36" s="89"/>
      <c r="AW36" s="89"/>
      <c r="AX36" s="126"/>
      <c r="AY36" s="127"/>
      <c r="AZ36" s="127"/>
      <c r="BA36" s="128"/>
      <c r="BB36" s="128"/>
      <c r="BC36" s="128"/>
      <c r="BD36" s="128"/>
      <c r="BE36" s="128"/>
      <c r="BF36" s="128"/>
      <c r="BG36" s="129"/>
      <c r="BH36" s="129"/>
      <c r="BI36" s="129"/>
      <c r="BJ36" s="130"/>
      <c r="BK36" s="129"/>
      <c r="BL36" s="130"/>
      <c r="BM36" s="129"/>
      <c r="BN36" s="130"/>
      <c r="BO36" s="131"/>
      <c r="BP36" s="132"/>
      <c r="BQ36" s="129"/>
      <c r="BR36" s="129"/>
      <c r="BS36" s="133"/>
      <c r="BT36" s="129"/>
      <c r="BU36" s="129"/>
      <c r="BV36" s="134"/>
      <c r="BW36" s="129"/>
      <c r="BX36" s="135"/>
      <c r="BY36" s="134"/>
      <c r="BZ36" s="129"/>
      <c r="CA36" s="136"/>
      <c r="CB36" s="101"/>
      <c r="CC36" s="101"/>
      <c r="CD36" s="129"/>
      <c r="CE36" s="129"/>
      <c r="CF36" s="137"/>
      <c r="CG36" s="103"/>
      <c r="CH36" s="129"/>
      <c r="CI36" s="130"/>
      <c r="CJ36" s="129"/>
      <c r="CK36" s="130"/>
      <c r="CL36" s="129"/>
      <c r="CM36" s="128"/>
      <c r="CN36" s="138"/>
      <c r="CO36" s="139"/>
      <c r="CP36" s="127"/>
      <c r="CQ36" s="139"/>
      <c r="CR36" s="94"/>
      <c r="CS36" s="140"/>
      <c r="CT36" s="141"/>
    </row>
    <row r="37" spans="1:98" ht="18">
      <c r="A37" s="4" t="s">
        <v>104</v>
      </c>
      <c r="B37" s="142">
        <f>IF(COUNT(B$13:B$36)=0,"",SUM(B$13:B$36))</f>
        <v>186.267</v>
      </c>
      <c r="C37" s="143"/>
      <c r="D37" s="144"/>
      <c r="E37" s="144"/>
      <c r="F37" s="143"/>
      <c r="G37" s="143"/>
      <c r="H37" s="145">
        <f>IF(COUNT(H$13:H$36)=0,"",SUM(H$13:H$36))</f>
        <v>186.267</v>
      </c>
      <c r="I37" s="146"/>
      <c r="J37" s="144"/>
      <c r="K37" s="143"/>
      <c r="L37" s="142"/>
      <c r="M37" s="142"/>
      <c r="N37" s="142"/>
      <c r="O37" s="142"/>
      <c r="P37" s="147"/>
      <c r="Q37" s="144">
        <f>IF(COUNT(Q$13:Q$36)=0,"",SUM(Q$13:Q$36))</f>
        <v>8369.2199999999975</v>
      </c>
      <c r="R37" s="142"/>
      <c r="S37" s="142"/>
      <c r="T37" s="142"/>
      <c r="U37" s="142"/>
      <c r="V37" s="142"/>
      <c r="W37" s="144">
        <f>IF(COUNT(W$13:W$36)=0,"",SUM(W$13:W$36))</f>
        <v>21</v>
      </c>
      <c r="X37" s="148">
        <f>IF(COUNT(X$13:X$36)=0,"",SUM(X$13:X$36))</f>
        <v>2038.3999999999996</v>
      </c>
      <c r="Y37" s="142"/>
      <c r="Z37" s="142">
        <f>IF(COUNT(Z$13:Z$36)=0,"",SUM(Z$13:Z$36))</f>
        <v>0.48000000000000009</v>
      </c>
      <c r="AA37" s="144">
        <f>IF(COUNT(AA$13:AA$36)=0,"",SUM(AA$13:AA$36))</f>
        <v>21</v>
      </c>
      <c r="AB37" s="142"/>
      <c r="AC37" s="142"/>
      <c r="AD37" s="142"/>
      <c r="AE37" s="144"/>
      <c r="AF37" s="144"/>
      <c r="AG37" s="144"/>
      <c r="AH37" s="149"/>
      <c r="AI37" s="144">
        <f>IF(COUNT(AI$13:AI$36)=0,"",B37*BD40*3.785)</f>
        <v>1903.5556065000001</v>
      </c>
      <c r="AJ37" s="144">
        <f>IF(COUNT(AJ$13:AJ$36)=0,"",B37*BE40*3.785)</f>
        <v>1747.4439033214285</v>
      </c>
      <c r="AK37" s="144">
        <f>IF(COUNT(AK$13:AK$36)=0,"",B37*BY40*3.785)</f>
        <v>218.55638445</v>
      </c>
      <c r="AL37" s="145" t="str">
        <f>IF(COUNT(AL$13:AL$36)=0,"",SUM(AL$13:AL$36))</f>
        <v/>
      </c>
      <c r="AM37" s="142">
        <f>IF(COUNT(AM$13:AM$36)=0,"",SUM(AM$13:AM$36))</f>
        <v>0</v>
      </c>
      <c r="AN37" s="142">
        <f>IF(COUNT(AN$13:AN$36)=0,"",SUM(AN$13:AN$36))</f>
        <v>0</v>
      </c>
      <c r="AO37" s="89"/>
      <c r="AP37" s="89"/>
      <c r="AQ37" s="89"/>
      <c r="AR37" s="89"/>
      <c r="AS37" s="144"/>
      <c r="AT37" s="89"/>
      <c r="AU37" s="89"/>
      <c r="AV37" s="89"/>
      <c r="AW37" s="89"/>
      <c r="AX37" s="150"/>
      <c r="AY37" s="150"/>
      <c r="AZ37" s="150"/>
      <c r="BA37" s="151"/>
      <c r="BB37" s="151"/>
      <c r="BC37" s="151"/>
      <c r="BD37" s="151"/>
      <c r="BE37" s="151"/>
      <c r="BF37" s="151"/>
      <c r="BG37" s="152"/>
      <c r="BH37" s="152"/>
      <c r="BI37" s="152"/>
      <c r="BJ37" s="151"/>
      <c r="BK37" s="152"/>
      <c r="BL37" s="151"/>
      <c r="BM37" s="152"/>
      <c r="BN37" s="151"/>
      <c r="BO37" s="150"/>
      <c r="BP37" s="152"/>
      <c r="BQ37" s="152"/>
      <c r="BR37" s="152"/>
      <c r="BS37" s="153"/>
      <c r="BT37" s="154"/>
      <c r="BU37" s="152"/>
      <c r="BV37" s="155"/>
      <c r="BW37" s="156"/>
      <c r="BX37" s="153"/>
      <c r="BY37" s="157"/>
      <c r="BZ37" s="156"/>
      <c r="CA37" s="156"/>
      <c r="CB37" s="158" t="str">
        <f>IF(COUNT(CB$13:CB$36)=0,"",SUM(CB$13:CB$36))</f>
        <v/>
      </c>
      <c r="CC37" s="158" t="str">
        <f>IF(COUNT(CC$13:CC$36)=0,"",SUM(CC$13:CC$36))</f>
        <v/>
      </c>
      <c r="CD37" s="156">
        <f>IF(COUNT(CD$13:CD$36)=0,"",SUM(CD$13:CD$36))</f>
        <v>186.267</v>
      </c>
      <c r="CE37" s="159" t="str">
        <f>IF(COUNT(CE$13:CE$36)=0,"",SUM(CE$13:CE$36))</f>
        <v/>
      </c>
      <c r="CF37" s="160"/>
      <c r="CG37" s="103"/>
      <c r="CH37" s="161"/>
      <c r="CI37" s="155"/>
      <c r="CJ37" s="156"/>
      <c r="CK37" s="155"/>
      <c r="CL37" s="156"/>
      <c r="CM37" s="162"/>
      <c r="CN37" s="162"/>
      <c r="CO37" s="163" t="str">
        <f>IF(COUNT(CO$13:CO$36)=0,"",SUM(CO$13:CO$36))</f>
        <v/>
      </c>
      <c r="CP37" s="161"/>
      <c r="CQ37" s="156"/>
      <c r="CR37" s="115"/>
      <c r="CS37" s="156"/>
      <c r="CT37" s="142"/>
    </row>
    <row r="38" spans="1:98" ht="18">
      <c r="A38" s="4" t="s">
        <v>69</v>
      </c>
      <c r="B38" s="142">
        <f>IF(COUNT(B$13:B$36)=0,"",MAX(B$13:B$36))</f>
        <v>10.564</v>
      </c>
      <c r="C38" s="143">
        <f>IF(COUNT(C$13:C$36)=0,"",MAX(C$13:C$36))</f>
        <v>6.7</v>
      </c>
      <c r="D38" s="144">
        <f t="shared" ref="D38:G40" si="66">AY38</f>
        <v>177</v>
      </c>
      <c r="E38" s="144">
        <f t="shared" si="66"/>
        <v>313</v>
      </c>
      <c r="F38" s="143">
        <f t="shared" si="66"/>
        <v>5.1100000000000003</v>
      </c>
      <c r="G38" s="143">
        <f t="shared" si="66"/>
        <v>43.1</v>
      </c>
      <c r="H38" s="145">
        <f>IF(COUNT(H$13:H$36)=0,"",MAX(H$13:H$36))</f>
        <v>10.564</v>
      </c>
      <c r="I38" s="146">
        <f t="shared" ref="I38:K40" si="67">BC38</f>
        <v>7.03</v>
      </c>
      <c r="J38" s="144">
        <f t="shared" si="67"/>
        <v>4</v>
      </c>
      <c r="K38" s="143">
        <f t="shared" si="67"/>
        <v>3.3</v>
      </c>
      <c r="L38" s="142">
        <f>BY38</f>
        <v>0.78</v>
      </c>
      <c r="M38" s="142">
        <f>IF(COUNT(M$13:M$36)=0,"",MAX(M$13:M$36))</f>
        <v>0.61</v>
      </c>
      <c r="N38" s="142">
        <f t="shared" ref="N38:O40" si="68">BZ38</f>
        <v>2.06</v>
      </c>
      <c r="O38" s="142">
        <f t="shared" si="68"/>
        <v>3.85</v>
      </c>
      <c r="P38" s="147">
        <f t="shared" ref="P38:AD38" si="69">IF(COUNT(P$13:P$36)=0,"",MAX(P$13:P$36))</f>
        <v>5.84</v>
      </c>
      <c r="Q38" s="144">
        <f t="shared" si="69"/>
        <v>549.15</v>
      </c>
      <c r="R38" s="142">
        <f t="shared" si="69"/>
        <v>6.5196035942330468</v>
      </c>
      <c r="S38" s="142">
        <f t="shared" si="69"/>
        <v>0.71</v>
      </c>
      <c r="T38" s="142">
        <f t="shared" si="69"/>
        <v>5.8696035942330465</v>
      </c>
      <c r="U38" s="142">
        <f t="shared" si="69"/>
        <v>1.19</v>
      </c>
      <c r="V38" s="142">
        <f t="shared" si="69"/>
        <v>0.59</v>
      </c>
      <c r="W38" s="144">
        <f t="shared" si="69"/>
        <v>3</v>
      </c>
      <c r="X38" s="148">
        <f t="shared" si="69"/>
        <v>109.2</v>
      </c>
      <c r="Y38" s="142">
        <f t="shared" si="69"/>
        <v>1.4725062055618665</v>
      </c>
      <c r="Z38" s="142">
        <f t="shared" si="69"/>
        <v>0.12</v>
      </c>
      <c r="AA38" s="144">
        <f t="shared" si="69"/>
        <v>1</v>
      </c>
      <c r="AB38" s="142">
        <f t="shared" si="69"/>
        <v>0.12</v>
      </c>
      <c r="AC38" s="142">
        <f t="shared" si="69"/>
        <v>0.12</v>
      </c>
      <c r="AD38" s="142">
        <f t="shared" si="69"/>
        <v>0.12</v>
      </c>
      <c r="AE38" s="144">
        <f>AX38</f>
        <v>1</v>
      </c>
      <c r="AF38" s="144" t="str">
        <f>BO38</f>
        <v/>
      </c>
      <c r="AG38" s="144">
        <f t="shared" ref="AG38:AH40" si="70">CP38</f>
        <v>2</v>
      </c>
      <c r="AH38" s="149" t="str">
        <f t="shared" si="70"/>
        <v/>
      </c>
      <c r="AI38" s="144">
        <f t="shared" ref="AI38:AN38" si="71">IF(COUNT(AI$13:AI$36)=0,"",MAX(AI$13:AI$36))</f>
        <v>136.60821999999999</v>
      </c>
      <c r="AJ38" s="144">
        <f t="shared" si="71"/>
        <v>112.7017815</v>
      </c>
      <c r="AK38" s="144">
        <f t="shared" si="71"/>
        <v>25.658439300000005</v>
      </c>
      <c r="AL38" s="145" t="str">
        <f t="shared" si="71"/>
        <v/>
      </c>
      <c r="AM38" s="142">
        <f t="shared" si="71"/>
        <v>0</v>
      </c>
      <c r="AN38" s="142">
        <f t="shared" si="71"/>
        <v>0</v>
      </c>
      <c r="AO38" s="89"/>
      <c r="AP38" s="89"/>
      <c r="AQ38" s="89"/>
      <c r="AR38" s="89"/>
      <c r="AS38" s="144">
        <f>CN38</f>
        <v>0</v>
      </c>
      <c r="AT38" s="89"/>
      <c r="AU38" s="89"/>
      <c r="AV38" s="89"/>
      <c r="AW38" s="89"/>
      <c r="AX38" s="150">
        <f t="shared" ref="AX38:BM38" si="72">IF(COUNT(AX$13:AX$36)=0,"",MAX(AX$13:AX$36))</f>
        <v>1</v>
      </c>
      <c r="AY38" s="150">
        <f t="shared" si="72"/>
        <v>177</v>
      </c>
      <c r="AZ38" s="150">
        <f t="shared" si="72"/>
        <v>313</v>
      </c>
      <c r="BA38" s="151">
        <f t="shared" si="72"/>
        <v>5.1100000000000003</v>
      </c>
      <c r="BB38" s="151">
        <f t="shared" si="72"/>
        <v>43.1</v>
      </c>
      <c r="BC38" s="151">
        <f t="shared" si="72"/>
        <v>7.03</v>
      </c>
      <c r="BD38" s="151">
        <f t="shared" si="72"/>
        <v>4</v>
      </c>
      <c r="BE38" s="151">
        <f t="shared" si="72"/>
        <v>3.3</v>
      </c>
      <c r="BF38" s="151" t="str">
        <f t="shared" si="72"/>
        <v/>
      </c>
      <c r="BG38" s="152">
        <f t="shared" si="72"/>
        <v>2.06</v>
      </c>
      <c r="BH38" s="152">
        <f t="shared" si="72"/>
        <v>3.85</v>
      </c>
      <c r="BI38" s="152">
        <f t="shared" si="72"/>
        <v>12.11</v>
      </c>
      <c r="BJ38" s="151" t="str">
        <f t="shared" si="72"/>
        <v/>
      </c>
      <c r="BK38" s="152">
        <f t="shared" si="72"/>
        <v>0.4</v>
      </c>
      <c r="BL38" s="151">
        <f t="shared" si="72"/>
        <v>0.3</v>
      </c>
      <c r="BM38" s="152">
        <f t="shared" si="72"/>
        <v>1.5</v>
      </c>
      <c r="BN38" s="151">
        <f>IF(COUNT(BN$13:BN$36)=0,"",MAX(BN$13:BN$36))</f>
        <v>1.2</v>
      </c>
      <c r="BO38" s="150" t="str">
        <f>IF(COUNT(BO$13:BO$36)=0,"",MAX(BO$13:BO$36))</f>
        <v/>
      </c>
      <c r="BP38" s="152" t="str">
        <f t="shared" ref="BP38:BR40" si="73">BF38</f>
        <v/>
      </c>
      <c r="BQ38" s="152">
        <f t="shared" si="73"/>
        <v>2.06</v>
      </c>
      <c r="BR38" s="152">
        <f t="shared" si="73"/>
        <v>3.85</v>
      </c>
      <c r="BS38" s="153" t="str">
        <f>BV38</f>
        <v/>
      </c>
      <c r="BT38" s="154" t="str">
        <f t="shared" ref="BT38:BU40" si="74">BJ38</f>
        <v/>
      </c>
      <c r="BU38" s="152">
        <f t="shared" si="74"/>
        <v>0.4</v>
      </c>
      <c r="BV38" s="155" t="str">
        <f t="shared" ref="BV38:CF38" si="75">IF(COUNT(BV$13:BV$36)=0,"",MAX(BV$13:BV$36))</f>
        <v/>
      </c>
      <c r="BW38" s="156" t="str">
        <f t="shared" si="75"/>
        <v/>
      </c>
      <c r="BX38" s="153" t="str">
        <f t="shared" si="75"/>
        <v/>
      </c>
      <c r="BY38" s="157">
        <f t="shared" si="75"/>
        <v>0.78</v>
      </c>
      <c r="BZ38" s="156">
        <f t="shared" si="75"/>
        <v>2.06</v>
      </c>
      <c r="CA38" s="156">
        <f t="shared" si="75"/>
        <v>3.85</v>
      </c>
      <c r="CB38" s="164" t="str">
        <f t="shared" si="75"/>
        <v/>
      </c>
      <c r="CC38" s="164" t="str">
        <f t="shared" si="75"/>
        <v/>
      </c>
      <c r="CD38" s="156">
        <f t="shared" si="75"/>
        <v>10.564</v>
      </c>
      <c r="CE38" s="159" t="str">
        <f t="shared" si="75"/>
        <v/>
      </c>
      <c r="CF38" s="155">
        <f t="shared" si="75"/>
        <v>3.3</v>
      </c>
      <c r="CG38" s="103"/>
      <c r="CH38" s="161" t="str">
        <f t="shared" ref="CH38:CM38" si="76">IF(COUNT(CH$13:CH$36)=0,"",MAX(CH$13:CH$36))</f>
        <v/>
      </c>
      <c r="CI38" s="155" t="str">
        <f t="shared" si="76"/>
        <v/>
      </c>
      <c r="CJ38" s="156" t="str">
        <f t="shared" si="76"/>
        <v/>
      </c>
      <c r="CK38" s="155" t="str">
        <f t="shared" si="76"/>
        <v/>
      </c>
      <c r="CL38" s="156" t="str">
        <f t="shared" si="76"/>
        <v/>
      </c>
      <c r="CM38" s="162" t="str">
        <f t="shared" si="76"/>
        <v/>
      </c>
      <c r="CN38" s="162"/>
      <c r="CO38" s="163" t="str">
        <f>IF(COUNT(CO$13:CO$36)=0,"",MAX(CO$13:CO$36))</f>
        <v/>
      </c>
      <c r="CP38" s="165">
        <f>IF(COUNT(CP$13:CP$36)=0,"",MAX(CP$13:CP$36))</f>
        <v>2</v>
      </c>
      <c r="CQ38" s="163" t="str">
        <f>IF(COUNT(CQ$13:CQ$36)=0,"",MAX(CQ$13:CQ$36))</f>
        <v/>
      </c>
      <c r="CR38" s="115"/>
      <c r="CS38" s="156" t="str">
        <f>IF(COUNT(CS$13:CS$36)=0,"",MAX(CS$13:CS$36))</f>
        <v/>
      </c>
      <c r="CT38" s="142" t="str">
        <f>IF(COUNT(CT$13:CT$36)=0,"",MAX(CT$13:CT$36))</f>
        <v/>
      </c>
    </row>
    <row r="39" spans="1:98" ht="18">
      <c r="A39" s="4" t="s">
        <v>105</v>
      </c>
      <c r="B39" s="142">
        <f>IF(COUNT(B$13:B$36)=0,"",MIN(B$13:B$36))</f>
        <v>8.0039999999999996</v>
      </c>
      <c r="C39" s="143">
        <f>IF(COUNT(C$13:C$36)=0,"",MIN(C$13:C$36))</f>
        <v>6.4</v>
      </c>
      <c r="D39" s="144">
        <f t="shared" si="66"/>
        <v>175</v>
      </c>
      <c r="E39" s="144">
        <f t="shared" si="66"/>
        <v>106</v>
      </c>
      <c r="F39" s="143">
        <f t="shared" si="66"/>
        <v>4.38</v>
      </c>
      <c r="G39" s="143">
        <f t="shared" si="66"/>
        <v>36</v>
      </c>
      <c r="H39" s="145">
        <f>IF(COUNT(H$13:H$36)=0,"",MIN(H$13:H$36))</f>
        <v>0</v>
      </c>
      <c r="I39" s="146">
        <f t="shared" si="67"/>
        <v>6.51</v>
      </c>
      <c r="J39" s="144">
        <f t="shared" si="67"/>
        <v>2</v>
      </c>
      <c r="K39" s="143">
        <f t="shared" si="67"/>
        <v>1.9</v>
      </c>
      <c r="L39" s="142">
        <f>BY39</f>
        <v>0.17</v>
      </c>
      <c r="M39" s="142">
        <f>IF(COUNT(M$13:M$36)=0,"",MIN(M$13:M$36))</f>
        <v>0.03</v>
      </c>
      <c r="N39" s="142">
        <f t="shared" si="68"/>
        <v>1.64</v>
      </c>
      <c r="O39" s="142">
        <f t="shared" si="68"/>
        <v>1.58</v>
      </c>
      <c r="P39" s="147">
        <f t="shared" ref="P39:AD39" si="77">IF(COUNT(P$13:P$36)=0,"",MIN(P$13:P$36))</f>
        <v>3.2199999999999998</v>
      </c>
      <c r="Q39" s="144">
        <f t="shared" si="77"/>
        <v>216</v>
      </c>
      <c r="R39" s="142">
        <f t="shared" si="77"/>
        <v>2.4052121523275432</v>
      </c>
      <c r="S39" s="142">
        <f t="shared" si="77"/>
        <v>0.57999999999999996</v>
      </c>
      <c r="T39" s="142">
        <f t="shared" si="77"/>
        <v>1.745212152327543</v>
      </c>
      <c r="U39" s="142">
        <f t="shared" si="77"/>
        <v>0.67</v>
      </c>
      <c r="V39" s="142">
        <f t="shared" si="77"/>
        <v>0.32</v>
      </c>
      <c r="W39" s="144">
        <f t="shared" si="77"/>
        <v>0</v>
      </c>
      <c r="X39" s="148">
        <f t="shared" si="77"/>
        <v>91</v>
      </c>
      <c r="Y39" s="142">
        <f t="shared" si="77"/>
        <v>1.0918943754500376</v>
      </c>
      <c r="Z39" s="142">
        <f t="shared" si="77"/>
        <v>0</v>
      </c>
      <c r="AA39" s="144">
        <f t="shared" si="77"/>
        <v>1</v>
      </c>
      <c r="AB39" s="142">
        <f t="shared" si="77"/>
        <v>0</v>
      </c>
      <c r="AC39" s="142">
        <f t="shared" si="77"/>
        <v>0</v>
      </c>
      <c r="AD39" s="142">
        <f t="shared" si="77"/>
        <v>0</v>
      </c>
      <c r="AE39" s="144">
        <f>AX39</f>
        <v>1</v>
      </c>
      <c r="AF39" s="144" t="str">
        <f>BO39</f>
        <v/>
      </c>
      <c r="AG39" s="144">
        <f t="shared" si="70"/>
        <v>1</v>
      </c>
      <c r="AH39" s="149" t="str">
        <f t="shared" si="70"/>
        <v/>
      </c>
      <c r="AI39" s="144">
        <f t="shared" ref="AI39:AN39" si="78">IF(COUNT(AI$13:AI$36)=0,"",MIN(AI$13:AI$36))</f>
        <v>61.392699999999998</v>
      </c>
      <c r="AJ39" s="144">
        <f t="shared" si="78"/>
        <v>58.323065</v>
      </c>
      <c r="AK39" s="144">
        <f t="shared" si="78"/>
        <v>6.0535776000000006</v>
      </c>
      <c r="AL39" s="145" t="str">
        <f t="shared" si="78"/>
        <v/>
      </c>
      <c r="AM39" s="142">
        <f t="shared" si="78"/>
        <v>0</v>
      </c>
      <c r="AN39" s="142">
        <f t="shared" si="78"/>
        <v>0</v>
      </c>
      <c r="AO39" s="89"/>
      <c r="AP39" s="89"/>
      <c r="AQ39" s="89"/>
      <c r="AR39" s="89"/>
      <c r="AS39" s="144">
        <f>CN39</f>
        <v>0</v>
      </c>
      <c r="AT39" s="89"/>
      <c r="AU39" s="89"/>
      <c r="AV39" s="89"/>
      <c r="AW39" s="89"/>
      <c r="AX39" s="150">
        <f t="shared" ref="AX39:BM39" si="79">IF(COUNT(AX$13:AX$36)=0,"",MIN(AX$13:AX$36))</f>
        <v>1</v>
      </c>
      <c r="AY39" s="150">
        <f t="shared" si="79"/>
        <v>175</v>
      </c>
      <c r="AZ39" s="150">
        <f t="shared" si="79"/>
        <v>106</v>
      </c>
      <c r="BA39" s="151">
        <f t="shared" si="79"/>
        <v>4.38</v>
      </c>
      <c r="BB39" s="151">
        <f t="shared" si="79"/>
        <v>36</v>
      </c>
      <c r="BC39" s="151">
        <f t="shared" si="79"/>
        <v>6.51</v>
      </c>
      <c r="BD39" s="151">
        <f t="shared" si="79"/>
        <v>2</v>
      </c>
      <c r="BE39" s="151">
        <f t="shared" si="79"/>
        <v>1.9</v>
      </c>
      <c r="BF39" s="151" t="str">
        <f t="shared" si="79"/>
        <v/>
      </c>
      <c r="BG39" s="152">
        <f t="shared" si="79"/>
        <v>1.64</v>
      </c>
      <c r="BH39" s="152">
        <f t="shared" si="79"/>
        <v>1.58</v>
      </c>
      <c r="BI39" s="152">
        <f t="shared" si="79"/>
        <v>9.56</v>
      </c>
      <c r="BJ39" s="151" t="str">
        <f t="shared" si="79"/>
        <v/>
      </c>
      <c r="BK39" s="152">
        <f t="shared" si="79"/>
        <v>0</v>
      </c>
      <c r="BL39" s="151">
        <f t="shared" si="79"/>
        <v>0</v>
      </c>
      <c r="BM39" s="152">
        <f t="shared" si="79"/>
        <v>0</v>
      </c>
      <c r="BN39" s="151">
        <f>IF(COUNT(BN$13:BN$36)=0,"",MIN(BN$13:BN$36))</f>
        <v>0</v>
      </c>
      <c r="BO39" s="150" t="str">
        <f>IF(COUNT(BO$13:BO$36)=0,"",MIN(BO$13:BO$36))</f>
        <v/>
      </c>
      <c r="BP39" s="152" t="str">
        <f t="shared" si="73"/>
        <v/>
      </c>
      <c r="BQ39" s="152">
        <f t="shared" si="73"/>
        <v>1.64</v>
      </c>
      <c r="BR39" s="152">
        <f t="shared" si="73"/>
        <v>1.58</v>
      </c>
      <c r="BS39" s="153" t="str">
        <f>BV39</f>
        <v/>
      </c>
      <c r="BT39" s="154" t="str">
        <f t="shared" si="74"/>
        <v/>
      </c>
      <c r="BU39" s="152">
        <f t="shared" si="74"/>
        <v>0</v>
      </c>
      <c r="BV39" s="155" t="str">
        <f t="shared" ref="BV39:CF39" si="80">IF(COUNT(BV$13:BV$36)=0,"",MIN(BV$13:BV$36))</f>
        <v/>
      </c>
      <c r="BW39" s="156" t="str">
        <f t="shared" si="80"/>
        <v/>
      </c>
      <c r="BX39" s="153" t="str">
        <f t="shared" si="80"/>
        <v/>
      </c>
      <c r="BY39" s="157">
        <f t="shared" si="80"/>
        <v>0.17</v>
      </c>
      <c r="BZ39" s="156">
        <f t="shared" si="80"/>
        <v>1.64</v>
      </c>
      <c r="CA39" s="156">
        <f t="shared" si="80"/>
        <v>1.58</v>
      </c>
      <c r="CB39" s="164" t="str">
        <f t="shared" si="80"/>
        <v/>
      </c>
      <c r="CC39" s="164" t="str">
        <f t="shared" si="80"/>
        <v/>
      </c>
      <c r="CD39" s="156">
        <f t="shared" si="80"/>
        <v>0</v>
      </c>
      <c r="CE39" s="159" t="str">
        <f t="shared" si="80"/>
        <v/>
      </c>
      <c r="CF39" s="155">
        <f t="shared" si="80"/>
        <v>1.9</v>
      </c>
      <c r="CG39" s="103"/>
      <c r="CH39" s="161" t="str">
        <f t="shared" ref="CH39:CM39" si="81">IF(COUNT(CH$13:CH$36)=0,"",MIN(CH$13:CH$36))</f>
        <v/>
      </c>
      <c r="CI39" s="155" t="str">
        <f t="shared" si="81"/>
        <v/>
      </c>
      <c r="CJ39" s="156" t="str">
        <f t="shared" si="81"/>
        <v/>
      </c>
      <c r="CK39" s="155" t="str">
        <f t="shared" si="81"/>
        <v/>
      </c>
      <c r="CL39" s="156" t="str">
        <f t="shared" si="81"/>
        <v/>
      </c>
      <c r="CM39" s="162" t="str">
        <f t="shared" si="81"/>
        <v/>
      </c>
      <c r="CN39" s="162"/>
      <c r="CO39" s="163" t="str">
        <f>IF(COUNT(CO$13:CO$36)=0,"",MIN(CO$13:CO$36))</f>
        <v/>
      </c>
      <c r="CP39" s="165">
        <f>IF(COUNT(CP$13:CP$36)=0,"",MIN(CP$13:CP$36))</f>
        <v>1</v>
      </c>
      <c r="CQ39" s="163" t="str">
        <f>IF(COUNT(CQ$13:CQ$36)=0,"",MIN(CQ$13:CQ$36))</f>
        <v/>
      </c>
      <c r="CR39" s="115"/>
      <c r="CS39" s="156" t="str">
        <f>IF(COUNT(CS$13:CS$36)=0,"",MIN(CS$13:CS$36))</f>
        <v/>
      </c>
      <c r="CT39" s="142" t="str">
        <f>IF(COUNT(CT$13:CT$36)=0,"",MIN(CT$13:CT$36))</f>
        <v/>
      </c>
    </row>
    <row r="40" spans="1:98" ht="18">
      <c r="A40" s="4" t="s">
        <v>70</v>
      </c>
      <c r="B40" s="166">
        <f>IF(COUNT(B$13:B$36)=0,"",AVERAGE(B$13:B$36))</f>
        <v>8.8698571428571427</v>
      </c>
      <c r="C40" s="167">
        <f>IF(COUNT(C$13:C$36)=0,"",AVERAGE(C$13:C$36))</f>
        <v>6.5571428571428569</v>
      </c>
      <c r="D40" s="168">
        <f t="shared" si="66"/>
        <v>176</v>
      </c>
      <c r="E40" s="168">
        <f t="shared" si="66"/>
        <v>155</v>
      </c>
      <c r="F40" s="167">
        <f t="shared" si="66"/>
        <v>4.7437499999999995</v>
      </c>
      <c r="G40" s="167">
        <f t="shared" si="66"/>
        <v>39.475000000000001</v>
      </c>
      <c r="H40" s="145">
        <f>IF(COUNT(H$13:H$36)=0,"",AVERAGE(H$13:H$36))</f>
        <v>8.4666818181818186</v>
      </c>
      <c r="I40" s="169">
        <f t="shared" si="67"/>
        <v>6.6971428571428566</v>
      </c>
      <c r="J40" s="168">
        <f t="shared" si="67"/>
        <v>2.7</v>
      </c>
      <c r="K40" s="167">
        <f t="shared" si="67"/>
        <v>2.4785714285714282</v>
      </c>
      <c r="L40" s="166">
        <f>BY40</f>
        <v>0.31</v>
      </c>
      <c r="M40" s="166">
        <f>IF(COUNT(M$13:M$36)=0,"",AVERAGE(M$13:M$36))</f>
        <v>0.13750000000000004</v>
      </c>
      <c r="N40" s="166">
        <f t="shared" si="68"/>
        <v>1.8872727272727274</v>
      </c>
      <c r="O40" s="166">
        <f t="shared" si="68"/>
        <v>2.6633333333333331</v>
      </c>
      <c r="P40" s="170">
        <f t="shared" ref="P40:AA40" si="82">IF(COUNT(P$13:P$36)=0,"",AVERAGE(P$13:P$36))</f>
        <v>4.5181818181818176</v>
      </c>
      <c r="Q40" s="168">
        <f t="shared" si="82"/>
        <v>398.5342857142856</v>
      </c>
      <c r="R40" s="166">
        <f t="shared" si="82"/>
        <v>4.6157416703719845</v>
      </c>
      <c r="S40" s="166">
        <f t="shared" si="82"/>
        <v>0.64333333333333353</v>
      </c>
      <c r="T40" s="166">
        <f t="shared" si="82"/>
        <v>3.9724083370386518</v>
      </c>
      <c r="U40" s="166">
        <f t="shared" si="82"/>
        <v>0.835238095238095</v>
      </c>
      <c r="V40" s="166">
        <f t="shared" si="82"/>
        <v>0.4690476190476191</v>
      </c>
      <c r="W40" s="168">
        <f t="shared" si="82"/>
        <v>1</v>
      </c>
      <c r="X40" s="171">
        <f t="shared" si="82"/>
        <v>97.066666666666649</v>
      </c>
      <c r="Y40" s="166">
        <f t="shared" si="82"/>
        <v>1.3183584761556713</v>
      </c>
      <c r="Z40" s="166">
        <f t="shared" si="82"/>
        <v>2.2857142857142861E-2</v>
      </c>
      <c r="AA40" s="168">
        <f t="shared" si="82"/>
        <v>1</v>
      </c>
      <c r="AB40" s="166">
        <f>IF(ISERROR(Z37/AA37),"",IF(COUNT(AB$13:AB$36)=0,"",(Z37/AA37)))</f>
        <v>2.2857142857142861E-2</v>
      </c>
      <c r="AC40" s="166">
        <f>IF(COUNT(AC$13:AC$36)=0,"",AVERAGE(AC$13:AC$36))</f>
        <v>2.2857142857142861E-2</v>
      </c>
      <c r="AD40" s="166">
        <f>IF(COUNT(AD$13:AD$36)=0,"",AVERAGE(AD$13:AD$36))</f>
        <v>2.2857142857142861E-2</v>
      </c>
      <c r="AE40" s="168">
        <f>AX40</f>
        <v>1</v>
      </c>
      <c r="AF40" s="168" t="str">
        <f>BO40</f>
        <v/>
      </c>
      <c r="AG40" s="168">
        <f t="shared" si="70"/>
        <v>1.2599210498948732</v>
      </c>
      <c r="AH40" s="172" t="str">
        <f t="shared" si="70"/>
        <v/>
      </c>
      <c r="AI40" s="168">
        <f t="shared" ref="AI40:AN40" si="83">IF(COUNT(AI$13:AI$36)=0,"",AVERAGE(AI$13:AI$36))</f>
        <v>90.281334000000001</v>
      </c>
      <c r="AJ40" s="168">
        <f t="shared" si="83"/>
        <v>84.573391785714293</v>
      </c>
      <c r="AK40" s="168">
        <f t="shared" si="83"/>
        <v>10.496838596153847</v>
      </c>
      <c r="AL40" s="173" t="str">
        <f t="shared" si="83"/>
        <v/>
      </c>
      <c r="AM40" s="166">
        <f t="shared" si="83"/>
        <v>0</v>
      </c>
      <c r="AN40" s="166">
        <f t="shared" si="83"/>
        <v>0</v>
      </c>
      <c r="AO40" s="89"/>
      <c r="AP40" s="89"/>
      <c r="AQ40" s="89"/>
      <c r="AR40" s="89"/>
      <c r="AS40" s="168">
        <f>CN40</f>
        <v>0</v>
      </c>
      <c r="AT40" s="89"/>
      <c r="AU40" s="89"/>
      <c r="AV40" s="89"/>
      <c r="AW40" s="89"/>
      <c r="AX40" s="150">
        <f>IF(COUNT(AX$13:AX$36)=0,"",GEOMEAN(AX$13:AX$36))</f>
        <v>1</v>
      </c>
      <c r="AY40" s="150">
        <f t="shared" ref="AY40:BN40" si="84">IF(COUNT(AY$13:AY$36)=0,"",AVERAGE(AY$13:AY$36))</f>
        <v>176</v>
      </c>
      <c r="AZ40" s="150">
        <f t="shared" si="84"/>
        <v>155</v>
      </c>
      <c r="BA40" s="151">
        <f t="shared" si="84"/>
        <v>4.7437499999999995</v>
      </c>
      <c r="BB40" s="151">
        <f t="shared" si="84"/>
        <v>39.475000000000001</v>
      </c>
      <c r="BC40" s="151">
        <f t="shared" si="84"/>
        <v>6.6971428571428566</v>
      </c>
      <c r="BD40" s="151">
        <f t="shared" si="84"/>
        <v>2.7</v>
      </c>
      <c r="BE40" s="151">
        <f t="shared" si="84"/>
        <v>2.4785714285714282</v>
      </c>
      <c r="BF40" s="151" t="str">
        <f t="shared" si="84"/>
        <v/>
      </c>
      <c r="BG40" s="152">
        <f t="shared" si="84"/>
        <v>1.8872727272727274</v>
      </c>
      <c r="BH40" s="152">
        <f t="shared" si="84"/>
        <v>2.6633333333333331</v>
      </c>
      <c r="BI40" s="152">
        <f t="shared" si="84"/>
        <v>10.437142857142858</v>
      </c>
      <c r="BJ40" s="151" t="str">
        <f t="shared" si="84"/>
        <v/>
      </c>
      <c r="BK40" s="152">
        <f t="shared" si="84"/>
        <v>7.6190476190476197E-2</v>
      </c>
      <c r="BL40" s="151">
        <f t="shared" si="84"/>
        <v>4.2857142857142851E-2</v>
      </c>
      <c r="BM40" s="152">
        <f t="shared" si="84"/>
        <v>0.39047619047619042</v>
      </c>
      <c r="BN40" s="151">
        <f t="shared" si="84"/>
        <v>0.27142857142857146</v>
      </c>
      <c r="BO40" s="150" t="str">
        <f>IF(COUNT(BO$13:BO$36)=0,"",GEOMEAN(BO$13:BO$36))</f>
        <v/>
      </c>
      <c r="BP40" s="152" t="str">
        <f t="shared" si="73"/>
        <v/>
      </c>
      <c r="BQ40" s="152">
        <f t="shared" si="73"/>
        <v>1.8872727272727274</v>
      </c>
      <c r="BR40" s="152">
        <f t="shared" si="73"/>
        <v>2.6633333333333331</v>
      </c>
      <c r="BS40" s="153" t="str">
        <f>BV40</f>
        <v/>
      </c>
      <c r="BT40" s="154" t="str">
        <f t="shared" si="74"/>
        <v/>
      </c>
      <c r="BU40" s="152">
        <f t="shared" si="74"/>
        <v>7.6190476190476197E-2</v>
      </c>
      <c r="BV40" s="155" t="str">
        <f t="shared" ref="BV40:CF40" si="85">IF(COUNT(BV$13:BV$36)=0,"",AVERAGE(BV$13:BV$36))</f>
        <v/>
      </c>
      <c r="BW40" s="156" t="str">
        <f t="shared" si="85"/>
        <v/>
      </c>
      <c r="BX40" s="153" t="str">
        <f t="shared" si="85"/>
        <v/>
      </c>
      <c r="BY40" s="157">
        <f t="shared" si="85"/>
        <v>0.31</v>
      </c>
      <c r="BZ40" s="156">
        <f t="shared" si="85"/>
        <v>1.8872727272727274</v>
      </c>
      <c r="CA40" s="156">
        <f t="shared" si="85"/>
        <v>2.6633333333333331</v>
      </c>
      <c r="CB40" s="164" t="str">
        <f t="shared" si="85"/>
        <v/>
      </c>
      <c r="CC40" s="164" t="str">
        <f t="shared" si="85"/>
        <v/>
      </c>
      <c r="CD40" s="156">
        <f t="shared" si="85"/>
        <v>8.4666818181818186</v>
      </c>
      <c r="CE40" s="159" t="str">
        <f t="shared" si="85"/>
        <v/>
      </c>
      <c r="CF40" s="155">
        <f t="shared" si="85"/>
        <v>2.4785714285714282</v>
      </c>
      <c r="CG40" s="103"/>
      <c r="CH40" s="161" t="str">
        <f t="shared" ref="CH40:CM40" si="86">IF(COUNT(CH$13:CH$36)=0,"",AVERAGE(CH$13:CH$36))</f>
        <v/>
      </c>
      <c r="CI40" s="155" t="str">
        <f t="shared" si="86"/>
        <v/>
      </c>
      <c r="CJ40" s="156" t="str">
        <f t="shared" si="86"/>
        <v/>
      </c>
      <c r="CK40" s="155" t="str">
        <f t="shared" si="86"/>
        <v/>
      </c>
      <c r="CL40" s="156" t="str">
        <f t="shared" si="86"/>
        <v/>
      </c>
      <c r="CM40" s="162" t="str">
        <f t="shared" si="86"/>
        <v/>
      </c>
      <c r="CN40" s="174"/>
      <c r="CO40" s="175" t="str">
        <f>IF(COUNT(CO$13:CO$36)=0,"",AVERAGE(CO$13:CO$36))</f>
        <v/>
      </c>
      <c r="CP40" s="165">
        <f>IF(COUNT(CP$13:CP$36)=0,"",GEOMEAN(CP$13:CP$36))</f>
        <v>1.2599210498948732</v>
      </c>
      <c r="CQ40" s="163" t="str">
        <f>IF(COUNT(CQ$13:CQ$36)=0,"",GEOMEAN(CQ$13:CQ$36))</f>
        <v/>
      </c>
      <c r="CR40" s="115"/>
      <c r="CS40" s="176" t="str">
        <f>IF(COUNT(CS$13:CS$36)=0,"",AVERAGE(CS$13:CS$36))</f>
        <v/>
      </c>
      <c r="CT40" s="166" t="str">
        <f>IF(COUNT(CT$13:CT$36)=0,"",AVERAGE(CT$13:CT$36))</f>
        <v/>
      </c>
    </row>
    <row r="41" spans="1:98" ht="13">
      <c r="H41" s="1"/>
    </row>
    <row r="42" spans="1:98" ht="16">
      <c r="A42" s="177" t="str">
        <f>IF($CC37="","",IF($CC37&gt;0,"Note:",""))</f>
        <v/>
      </c>
      <c r="B42" s="178" t="str">
        <f>IF($CC37="","",IF($CC37&gt;0,"Bolded Raw Influent Sample Data is of questionable accuracy due to sampling point location",""))</f>
        <v/>
      </c>
      <c r="C42" s="179"/>
      <c r="D42" s="179"/>
      <c r="E42" s="179"/>
      <c r="F42" s="179"/>
      <c r="G42" s="179"/>
      <c r="H42" s="1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CF42" s="179"/>
      <c r="CG42" s="179"/>
      <c r="CN42" s="179"/>
      <c r="CO42" s="179"/>
      <c r="CR42" s="179"/>
      <c r="CS42" s="179"/>
      <c r="CT42" s="179"/>
    </row>
    <row r="43" spans="1:98" ht="16">
      <c r="A43" s="177"/>
      <c r="B43" s="178"/>
      <c r="C43" s="179"/>
      <c r="D43" s="179"/>
      <c r="E43" s="179"/>
      <c r="F43" s="179"/>
      <c r="G43" s="178"/>
      <c r="H43" s="178"/>
      <c r="I43" s="179"/>
      <c r="J43" s="179"/>
      <c r="K43" s="179"/>
      <c r="L43" s="179"/>
      <c r="M43" s="178"/>
      <c r="N43" s="179"/>
      <c r="O43" s="179"/>
      <c r="P43" s="179"/>
      <c r="Q43" s="179"/>
      <c r="R43" s="178"/>
      <c r="S43" s="179"/>
      <c r="T43" s="179"/>
      <c r="U43" s="179"/>
      <c r="V43" s="179"/>
      <c r="W43" s="178"/>
      <c r="X43" s="179"/>
      <c r="Y43" s="179"/>
      <c r="Z43" s="179"/>
      <c r="AA43" s="179"/>
      <c r="AB43" s="178"/>
      <c r="AC43" s="179"/>
      <c r="AD43" s="179"/>
      <c r="AE43" s="179"/>
      <c r="AF43" s="178"/>
      <c r="AG43" s="178"/>
      <c r="AH43" s="179"/>
      <c r="AI43" s="179"/>
      <c r="AJ43" s="179"/>
      <c r="AK43" s="179"/>
      <c r="AL43" s="178"/>
      <c r="AM43" s="179"/>
      <c r="AN43" s="179"/>
      <c r="AO43" s="179"/>
      <c r="AP43" s="179"/>
      <c r="AQ43" s="178"/>
      <c r="AR43" s="179"/>
      <c r="AS43" s="179"/>
      <c r="AT43" s="178"/>
      <c r="AU43" s="179"/>
      <c r="AV43" s="179"/>
      <c r="AW43" s="179"/>
      <c r="AX43" s="178"/>
      <c r="AY43" s="179"/>
      <c r="AZ43" s="179"/>
      <c r="BA43" s="179"/>
      <c r="BB43" s="178"/>
      <c r="BC43" s="179"/>
      <c r="BD43" s="179"/>
      <c r="BE43" s="179"/>
      <c r="BF43" s="178"/>
      <c r="BG43" s="179"/>
      <c r="BH43" s="179"/>
      <c r="BI43" s="179"/>
      <c r="BJ43" s="178"/>
      <c r="BK43" s="179"/>
      <c r="BL43" s="179"/>
      <c r="BM43" s="179"/>
      <c r="BN43" s="178"/>
      <c r="BO43" s="179"/>
      <c r="BP43" s="179"/>
      <c r="BQ43" s="179"/>
      <c r="BR43" s="178"/>
      <c r="BS43" s="179"/>
      <c r="BT43" s="179"/>
      <c r="BU43" s="179"/>
      <c r="BV43" s="178"/>
      <c r="BW43" s="179"/>
      <c r="BX43" s="179"/>
      <c r="BY43" s="179"/>
      <c r="BZ43" s="178"/>
      <c r="CA43" s="179"/>
      <c r="CB43" s="179"/>
      <c r="CC43" s="179"/>
      <c r="CD43" s="178"/>
      <c r="CE43" s="179"/>
      <c r="CF43" s="179"/>
      <c r="CG43" s="179"/>
      <c r="CH43" s="179"/>
      <c r="CI43" s="179"/>
      <c r="CJ43" s="179"/>
      <c r="CK43" s="178"/>
      <c r="CL43" s="179"/>
      <c r="CM43" s="178"/>
      <c r="CN43" s="179"/>
      <c r="CO43" s="179"/>
      <c r="CR43" s="178"/>
      <c r="CS43" s="178"/>
      <c r="CT43" s="178"/>
    </row>
    <row r="44" spans="1:98" ht="13">
      <c r="H44" s="1"/>
    </row>
    <row r="45" spans="1:98" ht="13">
      <c r="H45" s="1"/>
    </row>
    <row r="46" spans="1:98" ht="13">
      <c r="H46" s="1"/>
    </row>
    <row r="47" spans="1:98" ht="13">
      <c r="H47" s="1"/>
    </row>
    <row r="48" spans="1:98" ht="13">
      <c r="H48" s="1"/>
    </row>
    <row r="49" spans="8:8" ht="13">
      <c r="H49" s="1"/>
    </row>
    <row r="50" spans="8:8" ht="13">
      <c r="H50" s="1"/>
    </row>
    <row r="51" spans="8:8" ht="13">
      <c r="H51" s="1"/>
    </row>
    <row r="52" spans="8:8" ht="13">
      <c r="H52" s="1"/>
    </row>
    <row r="53" spans="8:8" ht="13">
      <c r="H53" s="1"/>
    </row>
    <row r="100" spans="2:36">
      <c r="B100" s="1" t="s">
        <v>106</v>
      </c>
      <c r="C100" s="1" t="s">
        <v>107</v>
      </c>
      <c r="D100" s="1" t="s">
        <v>108</v>
      </c>
      <c r="E100" s="1" t="s">
        <v>109</v>
      </c>
      <c r="F100" s="1" t="s">
        <v>110</v>
      </c>
      <c r="G100" s="1" t="s">
        <v>111</v>
      </c>
      <c r="H100" t="s">
        <v>112</v>
      </c>
      <c r="I100" s="1" t="s">
        <v>113</v>
      </c>
      <c r="J100" s="1" t="s">
        <v>114</v>
      </c>
      <c r="K100" s="1" t="s">
        <v>115</v>
      </c>
      <c r="L100" s="1" t="s">
        <v>116</v>
      </c>
      <c r="M100" s="1" t="s">
        <v>117</v>
      </c>
      <c r="N100" s="1" t="s">
        <v>118</v>
      </c>
      <c r="O100" s="1" t="s">
        <v>119</v>
      </c>
      <c r="P100" s="1" t="s">
        <v>120</v>
      </c>
      <c r="Q100" s="1" t="s">
        <v>121</v>
      </c>
      <c r="R100" s="1" t="s">
        <v>122</v>
      </c>
      <c r="S100" s="1" t="s">
        <v>123</v>
      </c>
      <c r="T100" s="1" t="s">
        <v>124</v>
      </c>
      <c r="U100" s="1" t="s">
        <v>125</v>
      </c>
      <c r="V100" s="1" t="s">
        <v>126</v>
      </c>
      <c r="W100" s="1" t="s">
        <v>127</v>
      </c>
      <c r="X100" s="1" t="s">
        <v>128</v>
      </c>
      <c r="Z100" s="1" t="s">
        <v>129</v>
      </c>
      <c r="AA100" s="1" t="s">
        <v>130</v>
      </c>
      <c r="AB100" s="1" t="s">
        <v>131</v>
      </c>
      <c r="AC100" s="1" t="s">
        <v>132</v>
      </c>
      <c r="AD100" s="1" t="s">
        <v>133</v>
      </c>
      <c r="AE100" s="1" t="s">
        <v>134</v>
      </c>
      <c r="AF100" s="1" t="s">
        <v>135</v>
      </c>
      <c r="AG100" s="1" t="s">
        <v>136</v>
      </c>
      <c r="AH100" s="1" t="s">
        <v>137</v>
      </c>
      <c r="AI100" s="1" t="s">
        <v>138</v>
      </c>
      <c r="AJ100" s="1" t="s">
        <v>139</v>
      </c>
    </row>
  </sheetData>
  <pageMargins left="0.3" right="0.3" top="0.5" bottom="1" header="0.5" footer="0.5"/>
  <pageSetup scale="3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SUM'!Print_Area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Company>HRSD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MPOR DMR Summary</dc:title>
  <dc:subject>Plant DMR Summary</dc:subject>
  <dc:creator>WJB</dc:creator>
  <cp:lastModifiedBy>Geyman, Benjamin</cp:lastModifiedBy>
  <cp:lastPrinted>2001-02-14T19:41:52Z</cp:lastPrinted>
  <dcterms:created xsi:type="dcterms:W3CDTF">1998-08-21T13:57:10Z</dcterms:created>
  <dcterms:modified xsi:type="dcterms:W3CDTF">2025-11-13T15:54:06Z</dcterms:modified>
</cp:coreProperties>
</file>